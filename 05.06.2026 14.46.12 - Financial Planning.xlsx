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ac700cedda07ba/"/>
    </mc:Choice>
  </mc:AlternateContent>
  <xr:revisionPtr revIDLastSave="32" documentId="6_{C1C423C4-2A15-4B00-A3E1-8D88BC32261B}" xr6:coauthVersionLast="47" xr6:coauthVersionMax="47" xr10:uidLastSave="{7A4C0525-47EF-4967-97F1-7A7F39CF7AAA}"/>
  <bookViews>
    <workbookView xWindow="-107" yWindow="-107" windowWidth="20847" windowHeight="11111" activeTab="6" xr2:uid="{E4537C97-BAAE-407B-B899-E0094B4080E3}"/>
  </bookViews>
  <sheets>
    <sheet name="Plan" sheetId="1" r:id="rId1"/>
    <sheet name="Process" sheetId="3" r:id="rId2"/>
    <sheet name="Progress" sheetId="4" r:id="rId3"/>
    <sheet name="Inc-Exp" sheetId="2" r:id="rId4"/>
    <sheet name="Wisuda" sheetId="6" r:id="rId5"/>
    <sheet name="Emergency February" sheetId="7" r:id="rId6"/>
    <sheet name="2026" sheetId="8" r:id="rId7"/>
  </sheets>
  <definedNames>
    <definedName name="_xlnm._FilterDatabase" localSheetId="0" hidden="1">Plan!$C$11:$AA$11</definedName>
    <definedName name="_xlnm._FilterDatabase" localSheetId="1" hidden="1">Process!$B$2:$K$204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0" i="8" l="1"/>
  <c r="K141" i="8"/>
  <c r="N130" i="8"/>
  <c r="N132" i="8" s="1"/>
  <c r="N147" i="8"/>
  <c r="O147" i="8" s="1"/>
  <c r="S126" i="8"/>
  <c r="O129" i="8"/>
  <c r="N118" i="8"/>
  <c r="N110" i="8"/>
  <c r="P129" i="8"/>
  <c r="N120" i="8"/>
  <c r="N128" i="8" s="1"/>
  <c r="E149" i="8"/>
  <c r="O148" i="8"/>
  <c r="O146" i="8"/>
  <c r="E146" i="8"/>
  <c r="O145" i="8"/>
  <c r="E145" i="8"/>
  <c r="O144" i="8"/>
  <c r="E144" i="8"/>
  <c r="O143" i="8"/>
  <c r="E143" i="8"/>
  <c r="E142" i="8"/>
  <c r="E141" i="8"/>
  <c r="K140" i="8"/>
  <c r="E140" i="8"/>
  <c r="K139" i="8"/>
  <c r="E139" i="8"/>
  <c r="K138" i="8"/>
  <c r="E138" i="8"/>
  <c r="K137" i="8"/>
  <c r="E137" i="8"/>
  <c r="K136" i="8"/>
  <c r="E136" i="8"/>
  <c r="K135" i="8"/>
  <c r="E135" i="8"/>
  <c r="K134" i="8"/>
  <c r="E134" i="8"/>
  <c r="K133" i="8"/>
  <c r="E133" i="8"/>
  <c r="K132" i="8"/>
  <c r="E132" i="8"/>
  <c r="N88" i="8"/>
  <c r="K88" i="8"/>
  <c r="K113" i="8"/>
  <c r="E89" i="8"/>
  <c r="O126" i="8"/>
  <c r="O125" i="8"/>
  <c r="O124" i="8"/>
  <c r="O123" i="8"/>
  <c r="O122" i="8"/>
  <c r="O121" i="8"/>
  <c r="K119" i="8"/>
  <c r="O119" i="8" s="1"/>
  <c r="K118" i="8"/>
  <c r="O118" i="8" s="1"/>
  <c r="K117" i="8"/>
  <c r="O117" i="8" s="1"/>
  <c r="K116" i="8"/>
  <c r="O116" i="8" s="1"/>
  <c r="K115" i="8"/>
  <c r="O115" i="8" s="1"/>
  <c r="K114" i="8"/>
  <c r="O114" i="8" s="1"/>
  <c r="O113" i="8"/>
  <c r="K112" i="8"/>
  <c r="O112" i="8" s="1"/>
  <c r="K111" i="8"/>
  <c r="K110" i="8"/>
  <c r="E127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5" i="8"/>
  <c r="O104" i="8"/>
  <c r="O103" i="8"/>
  <c r="O102" i="8"/>
  <c r="E102" i="8"/>
  <c r="O101" i="8"/>
  <c r="E101" i="8"/>
  <c r="O100" i="8"/>
  <c r="E100" i="8"/>
  <c r="O99" i="8"/>
  <c r="E99" i="8"/>
  <c r="E98" i="8"/>
  <c r="K97" i="8"/>
  <c r="O97" i="8" s="1"/>
  <c r="E97" i="8"/>
  <c r="K96" i="8"/>
  <c r="E96" i="8"/>
  <c r="K95" i="8"/>
  <c r="O95" i="8" s="1"/>
  <c r="E95" i="8"/>
  <c r="K94" i="8"/>
  <c r="O94" i="8" s="1"/>
  <c r="E94" i="8"/>
  <c r="O93" i="8"/>
  <c r="K93" i="8"/>
  <c r="E93" i="8"/>
  <c r="K92" i="8"/>
  <c r="O92" i="8" s="1"/>
  <c r="E92" i="8"/>
  <c r="K91" i="8"/>
  <c r="O91" i="8" s="1"/>
  <c r="E91" i="8"/>
  <c r="K90" i="8"/>
  <c r="O90" i="8" s="1"/>
  <c r="E90" i="8"/>
  <c r="K89" i="8"/>
  <c r="O89" i="8" s="1"/>
  <c r="E88" i="8"/>
  <c r="N82" i="8"/>
  <c r="I75" i="8"/>
  <c r="K75" i="8" s="1"/>
  <c r="N66" i="8"/>
  <c r="K82" i="8"/>
  <c r="O78" i="8"/>
  <c r="O80" i="8"/>
  <c r="O81" i="8"/>
  <c r="E77" i="8"/>
  <c r="E78" i="8"/>
  <c r="E79" i="8"/>
  <c r="E80" i="8"/>
  <c r="N45" i="8"/>
  <c r="K70" i="8"/>
  <c r="O70" i="8" s="1"/>
  <c r="K79" i="8"/>
  <c r="O79" i="8" s="1"/>
  <c r="E71" i="8"/>
  <c r="E72" i="8"/>
  <c r="E83" i="8"/>
  <c r="O77" i="8"/>
  <c r="E76" i="8"/>
  <c r="E75" i="8"/>
  <c r="K74" i="8"/>
  <c r="N74" i="8" s="1"/>
  <c r="E74" i="8"/>
  <c r="K73" i="8"/>
  <c r="O73" i="8" s="1"/>
  <c r="E73" i="8"/>
  <c r="K72" i="8"/>
  <c r="O72" i="8" s="1"/>
  <c r="K71" i="8"/>
  <c r="O71" i="8" s="1"/>
  <c r="E70" i="8"/>
  <c r="K69" i="8"/>
  <c r="O69" i="8" s="1"/>
  <c r="E69" i="8"/>
  <c r="K68" i="8"/>
  <c r="O68" i="8" s="1"/>
  <c r="E68" i="8"/>
  <c r="K67" i="8"/>
  <c r="O67" i="8" s="1"/>
  <c r="E67" i="8"/>
  <c r="K66" i="8"/>
  <c r="E66" i="8"/>
  <c r="N53" i="8"/>
  <c r="O53" i="8" s="1"/>
  <c r="N46" i="8"/>
  <c r="O46" i="8" s="1"/>
  <c r="N58" i="8"/>
  <c r="O58" i="8" s="1"/>
  <c r="N59" i="8"/>
  <c r="N56" i="8"/>
  <c r="O56" i="8" s="1"/>
  <c r="E61" i="8"/>
  <c r="O60" i="8"/>
  <c r="O57" i="8"/>
  <c r="E55" i="8"/>
  <c r="K54" i="8"/>
  <c r="O54" i="8" s="1"/>
  <c r="E54" i="8"/>
  <c r="K53" i="8"/>
  <c r="E53" i="8"/>
  <c r="K52" i="8"/>
  <c r="O52" i="8" s="1"/>
  <c r="E52" i="8"/>
  <c r="K51" i="8"/>
  <c r="O51" i="8" s="1"/>
  <c r="E51" i="8"/>
  <c r="K50" i="8"/>
  <c r="O50" i="8" s="1"/>
  <c r="E50" i="8"/>
  <c r="K49" i="8"/>
  <c r="O49" i="8" s="1"/>
  <c r="E49" i="8"/>
  <c r="K48" i="8"/>
  <c r="O48" i="8" s="1"/>
  <c r="E48" i="8"/>
  <c r="K47" i="8"/>
  <c r="O47" i="8" s="1"/>
  <c r="E47" i="8"/>
  <c r="K46" i="8"/>
  <c r="E46" i="8"/>
  <c r="K45" i="8"/>
  <c r="E45" i="8"/>
  <c r="I30" i="8"/>
  <c r="K30" i="8"/>
  <c r="O30" i="8" s="1"/>
  <c r="N7" i="8"/>
  <c r="N11" i="8"/>
  <c r="N15" i="8"/>
  <c r="N3" i="8"/>
  <c r="N9" i="8"/>
  <c r="N12" i="8"/>
  <c r="N5" i="8"/>
  <c r="K3" i="8"/>
  <c r="O3" i="8" s="1"/>
  <c r="AD10" i="1"/>
  <c r="AD20" i="1"/>
  <c r="AD21" i="1"/>
  <c r="AD22" i="1"/>
  <c r="AD23" i="1"/>
  <c r="AD19" i="1"/>
  <c r="P20" i="8"/>
  <c r="E25" i="8"/>
  <c r="E26" i="8"/>
  <c r="N41" i="8"/>
  <c r="E40" i="8"/>
  <c r="O39" i="8"/>
  <c r="O38" i="8"/>
  <c r="O37" i="8"/>
  <c r="O36" i="8"/>
  <c r="O35" i="8"/>
  <c r="N34" i="8"/>
  <c r="E34" i="8"/>
  <c r="K33" i="8"/>
  <c r="O33" i="8" s="1"/>
  <c r="E33" i="8"/>
  <c r="K32" i="8"/>
  <c r="O32" i="8" s="1"/>
  <c r="E32" i="8"/>
  <c r="K31" i="8"/>
  <c r="O31" i="8" s="1"/>
  <c r="E31" i="8"/>
  <c r="E30" i="8"/>
  <c r="K29" i="8"/>
  <c r="O29" i="8" s="1"/>
  <c r="E29" i="8"/>
  <c r="K28" i="8"/>
  <c r="O28" i="8" s="1"/>
  <c r="E28" i="8"/>
  <c r="K27" i="8"/>
  <c r="O27" i="8" s="1"/>
  <c r="E27" i="8"/>
  <c r="K26" i="8"/>
  <c r="O26" i="8" s="1"/>
  <c r="K25" i="8"/>
  <c r="K24" i="8"/>
  <c r="O24" i="8" s="1"/>
  <c r="E24" i="8"/>
  <c r="E19" i="8"/>
  <c r="O18" i="8"/>
  <c r="O17" i="8"/>
  <c r="O16" i="8"/>
  <c r="O15" i="8"/>
  <c r="O14" i="8"/>
  <c r="E13" i="8"/>
  <c r="K12" i="8"/>
  <c r="E12" i="8"/>
  <c r="K11" i="8"/>
  <c r="E11" i="8"/>
  <c r="K10" i="8"/>
  <c r="O10" i="8" s="1"/>
  <c r="E10" i="8"/>
  <c r="K9" i="8"/>
  <c r="E9" i="8"/>
  <c r="K8" i="8"/>
  <c r="O8" i="8" s="1"/>
  <c r="E8" i="8"/>
  <c r="K7" i="8"/>
  <c r="E7" i="8"/>
  <c r="K6" i="8"/>
  <c r="O6" i="8" s="1"/>
  <c r="E6" i="8"/>
  <c r="K5" i="8"/>
  <c r="E5" i="8"/>
  <c r="K4" i="8"/>
  <c r="O4" i="8" s="1"/>
  <c r="E4" i="8"/>
  <c r="E3" i="8"/>
  <c r="N129" i="7"/>
  <c r="I133" i="7"/>
  <c r="N109" i="7"/>
  <c r="N96" i="7"/>
  <c r="N92" i="7"/>
  <c r="N102" i="7" s="1"/>
  <c r="N123" i="7"/>
  <c r="O113" i="7"/>
  <c r="Y30" i="1"/>
  <c r="Y27" i="1"/>
  <c r="E113" i="7"/>
  <c r="K113" i="7"/>
  <c r="E114" i="7"/>
  <c r="K114" i="7"/>
  <c r="O114" i="7"/>
  <c r="E115" i="7"/>
  <c r="K115" i="7"/>
  <c r="O115" i="7"/>
  <c r="E116" i="7"/>
  <c r="K116" i="7"/>
  <c r="O116" i="7"/>
  <c r="E117" i="7"/>
  <c r="K117" i="7"/>
  <c r="O117" i="7"/>
  <c r="E118" i="7"/>
  <c r="K118" i="7"/>
  <c r="K123" i="7" s="1"/>
  <c r="O118" i="7"/>
  <c r="E119" i="7"/>
  <c r="K119" i="7"/>
  <c r="O119" i="7"/>
  <c r="E120" i="7"/>
  <c r="K120" i="7"/>
  <c r="O120" i="7"/>
  <c r="E121" i="7"/>
  <c r="K121" i="7"/>
  <c r="O121" i="7"/>
  <c r="E122" i="7"/>
  <c r="K122" i="7"/>
  <c r="O122" i="7"/>
  <c r="E123" i="7"/>
  <c r="E129" i="7"/>
  <c r="E130" i="7"/>
  <c r="O124" i="7"/>
  <c r="O125" i="7"/>
  <c r="O126" i="7"/>
  <c r="O127" i="7"/>
  <c r="O128" i="7"/>
  <c r="E92" i="7"/>
  <c r="E93" i="7"/>
  <c r="E94" i="7"/>
  <c r="E95" i="7"/>
  <c r="E96" i="7"/>
  <c r="E97" i="7"/>
  <c r="E98" i="7"/>
  <c r="E99" i="7"/>
  <c r="E100" i="7"/>
  <c r="E101" i="7"/>
  <c r="E102" i="7"/>
  <c r="E108" i="7"/>
  <c r="E109" i="7"/>
  <c r="K92" i="7"/>
  <c r="K93" i="7"/>
  <c r="K94" i="7"/>
  <c r="K95" i="7"/>
  <c r="K96" i="7"/>
  <c r="K97" i="7"/>
  <c r="K98" i="7"/>
  <c r="K99" i="7"/>
  <c r="K100" i="7"/>
  <c r="K101" i="7"/>
  <c r="K102" i="7"/>
  <c r="L102" i="7"/>
  <c r="L103" i="7"/>
  <c r="L104" i="7"/>
  <c r="L105" i="7"/>
  <c r="L106" i="7"/>
  <c r="L107" i="7"/>
  <c r="K108" i="7"/>
  <c r="Y24" i="1"/>
  <c r="O93" i="7"/>
  <c r="O94" i="7"/>
  <c r="O95" i="7"/>
  <c r="O96" i="7"/>
  <c r="O97" i="7"/>
  <c r="O98" i="7"/>
  <c r="O99" i="7"/>
  <c r="O100" i="7"/>
  <c r="O101" i="7"/>
  <c r="O103" i="7"/>
  <c r="O104" i="7"/>
  <c r="O105" i="7"/>
  <c r="O106" i="7"/>
  <c r="O107" i="7"/>
  <c r="L108" i="7"/>
  <c r="O108" i="7"/>
  <c r="K109" i="7"/>
  <c r="L109" i="7"/>
  <c r="N71" i="7"/>
  <c r="O71" i="7"/>
  <c r="O73" i="7"/>
  <c r="O74" i="7"/>
  <c r="O75" i="7"/>
  <c r="O79" i="7"/>
  <c r="O80" i="7"/>
  <c r="O81" i="7"/>
  <c r="O82" i="7"/>
  <c r="O83" i="7"/>
  <c r="O84" i="7"/>
  <c r="O85" i="7"/>
  <c r="O87" i="7"/>
  <c r="O88" i="7"/>
  <c r="O86" i="7"/>
  <c r="N81" i="7"/>
  <c r="N88" i="7"/>
  <c r="O78" i="7"/>
  <c r="O77" i="7"/>
  <c r="O76" i="7"/>
  <c r="O72" i="7"/>
  <c r="L86" i="7"/>
  <c r="O65" i="7"/>
  <c r="O62" i="7"/>
  <c r="O63" i="7"/>
  <c r="O64" i="7"/>
  <c r="O61" i="7"/>
  <c r="O51" i="7"/>
  <c r="N60" i="7"/>
  <c r="N67" i="7"/>
  <c r="I13" i="1"/>
  <c r="K13" i="1"/>
  <c r="N13" i="1"/>
  <c r="I14" i="1"/>
  <c r="I15" i="1"/>
  <c r="I16" i="1"/>
  <c r="K16" i="1"/>
  <c r="L16" i="1"/>
  <c r="I17" i="1"/>
  <c r="N17" i="1"/>
  <c r="I18" i="1"/>
  <c r="I19" i="1"/>
  <c r="I20" i="1"/>
  <c r="I21" i="1"/>
  <c r="I22" i="1"/>
  <c r="I12" i="1"/>
  <c r="K12" i="1"/>
  <c r="D17" i="1"/>
  <c r="E17" i="1"/>
  <c r="E87" i="7"/>
  <c r="E81" i="7"/>
  <c r="K80" i="7"/>
  <c r="E80" i="7"/>
  <c r="K79" i="7"/>
  <c r="E79" i="7"/>
  <c r="K78" i="7"/>
  <c r="E78" i="7"/>
  <c r="K77" i="7"/>
  <c r="E77" i="7"/>
  <c r="K76" i="7"/>
  <c r="E76" i="7"/>
  <c r="K75" i="7"/>
  <c r="E75" i="7"/>
  <c r="K74" i="7"/>
  <c r="E74" i="7"/>
  <c r="K73" i="7"/>
  <c r="E73" i="7"/>
  <c r="K72" i="7"/>
  <c r="E72" i="7"/>
  <c r="K71" i="7"/>
  <c r="E71" i="7"/>
  <c r="E36" i="7"/>
  <c r="K36" i="7"/>
  <c r="W10" i="2"/>
  <c r="V10" i="2"/>
  <c r="S10" i="2"/>
  <c r="S11" i="2"/>
  <c r="T11" i="2"/>
  <c r="U11" i="2"/>
  <c r="L34" i="2"/>
  <c r="L33" i="2"/>
  <c r="L32" i="2"/>
  <c r="L31" i="2"/>
  <c r="L30" i="2"/>
  <c r="L29" i="2"/>
  <c r="L28" i="2"/>
  <c r="L27" i="2"/>
  <c r="L26" i="2"/>
  <c r="L25" i="2"/>
  <c r="G68" i="3"/>
  <c r="G67" i="3"/>
  <c r="E68" i="3"/>
  <c r="G65" i="3"/>
  <c r="G66" i="3"/>
  <c r="E65" i="3"/>
  <c r="E66" i="3"/>
  <c r="E67" i="3"/>
  <c r="K59" i="7"/>
  <c r="O59" i="7"/>
  <c r="E51" i="7"/>
  <c r="E66" i="7"/>
  <c r="E60" i="7"/>
  <c r="E59" i="7"/>
  <c r="K58" i="7"/>
  <c r="O58" i="7"/>
  <c r="E58" i="7"/>
  <c r="K57" i="7"/>
  <c r="O57" i="7"/>
  <c r="E57" i="7"/>
  <c r="K56" i="7"/>
  <c r="O56" i="7"/>
  <c r="E56" i="7"/>
  <c r="K55" i="7"/>
  <c r="O55" i="7"/>
  <c r="E55" i="7"/>
  <c r="K54" i="7"/>
  <c r="O54" i="7"/>
  <c r="E54" i="7"/>
  <c r="K53" i="7"/>
  <c r="O53" i="7"/>
  <c r="E53" i="7"/>
  <c r="K52" i="7"/>
  <c r="O52" i="7"/>
  <c r="E52" i="7"/>
  <c r="K51" i="7"/>
  <c r="K50" i="7"/>
  <c r="O50" i="7"/>
  <c r="O60" i="7"/>
  <c r="E50" i="7"/>
  <c r="E37" i="7"/>
  <c r="E38" i="7"/>
  <c r="E39" i="7"/>
  <c r="E40" i="7"/>
  <c r="E41" i="7"/>
  <c r="E42" i="7"/>
  <c r="E43" i="7"/>
  <c r="E44" i="7"/>
  <c r="E45" i="7"/>
  <c r="E20" i="7"/>
  <c r="E21" i="7"/>
  <c r="E22" i="7"/>
  <c r="E23" i="7"/>
  <c r="E24" i="7"/>
  <c r="E25" i="7"/>
  <c r="E26" i="7"/>
  <c r="E27" i="7"/>
  <c r="E28" i="7"/>
  <c r="E29" i="7"/>
  <c r="K43" i="7"/>
  <c r="K42" i="7"/>
  <c r="K41" i="7"/>
  <c r="K40" i="7"/>
  <c r="K39" i="7"/>
  <c r="K38" i="7"/>
  <c r="K37" i="7"/>
  <c r="K35" i="7"/>
  <c r="E35" i="7"/>
  <c r="K34" i="7"/>
  <c r="E34" i="7"/>
  <c r="K25" i="7"/>
  <c r="K24" i="7"/>
  <c r="K23" i="7"/>
  <c r="K22" i="7"/>
  <c r="K21" i="7"/>
  <c r="K20" i="7"/>
  <c r="K19" i="7"/>
  <c r="K18" i="7"/>
  <c r="K17" i="7"/>
  <c r="E18" i="7"/>
  <c r="E19" i="7"/>
  <c r="E17" i="7"/>
  <c r="G62" i="3"/>
  <c r="G61" i="3"/>
  <c r="G60" i="3"/>
  <c r="G59" i="3"/>
  <c r="G58" i="3"/>
  <c r="H11" i="6"/>
  <c r="H10" i="6"/>
  <c r="F10" i="6"/>
  <c r="F7" i="6"/>
  <c r="H7" i="6"/>
  <c r="F8" i="6"/>
  <c r="F9" i="6"/>
  <c r="F6" i="6"/>
  <c r="D2" i="6"/>
  <c r="H2" i="6"/>
  <c r="H3" i="6"/>
  <c r="H4" i="6"/>
  <c r="H5" i="6"/>
  <c r="H6" i="6"/>
  <c r="H8" i="6"/>
  <c r="H9" i="6"/>
  <c r="D4" i="6"/>
  <c r="K9" i="7"/>
  <c r="K10" i="7"/>
  <c r="K8" i="7"/>
  <c r="K7" i="7"/>
  <c r="K6" i="7"/>
  <c r="E6" i="7"/>
  <c r="K5" i="7"/>
  <c r="K4" i="7"/>
  <c r="K3" i="7"/>
  <c r="K2" i="7"/>
  <c r="E2" i="7"/>
  <c r="D54" i="3"/>
  <c r="D53" i="3"/>
  <c r="E53" i="3"/>
  <c r="E50" i="3"/>
  <c r="E49" i="3"/>
  <c r="E47" i="3"/>
  <c r="E46" i="3"/>
  <c r="E51" i="3"/>
  <c r="B11" i="6"/>
  <c r="E27" i="3"/>
  <c r="E28" i="3"/>
  <c r="E29" i="3"/>
  <c r="E30" i="3"/>
  <c r="E33" i="3"/>
  <c r="E34" i="3"/>
  <c r="E35" i="3"/>
  <c r="E36" i="3"/>
  <c r="E37" i="3"/>
  <c r="E38" i="3"/>
  <c r="E39" i="3"/>
  <c r="E40" i="3"/>
  <c r="E41" i="3"/>
  <c r="E42" i="3"/>
  <c r="E45" i="3"/>
  <c r="E48" i="3"/>
  <c r="E52" i="3"/>
  <c r="E54" i="3"/>
  <c r="E55" i="3"/>
  <c r="E56" i="3"/>
  <c r="E57" i="3"/>
  <c r="E58" i="3"/>
  <c r="E59" i="3"/>
  <c r="E62" i="3"/>
  <c r="E63" i="3"/>
  <c r="E64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6" i="3"/>
  <c r="E20" i="3"/>
  <c r="E4" i="3"/>
  <c r="D13" i="1"/>
  <c r="E13" i="1"/>
  <c r="E5" i="3"/>
  <c r="E6" i="3"/>
  <c r="E7" i="3"/>
  <c r="E8" i="3"/>
  <c r="D61" i="3"/>
  <c r="E61" i="3"/>
  <c r="E9" i="3"/>
  <c r="E10" i="3"/>
  <c r="E11" i="3"/>
  <c r="D60" i="3"/>
  <c r="E12" i="3"/>
  <c r="D12" i="1"/>
  <c r="E12" i="1"/>
  <c r="E13" i="3"/>
  <c r="E14" i="3"/>
  <c r="E15" i="3"/>
  <c r="E16" i="3"/>
  <c r="E17" i="3"/>
  <c r="E3" i="3"/>
  <c r="R27" i="1"/>
  <c r="L39" i="3"/>
  <c r="G32" i="3"/>
  <c r="G31" i="3"/>
  <c r="G25" i="3"/>
  <c r="G24" i="3"/>
  <c r="D24" i="3"/>
  <c r="D25" i="3"/>
  <c r="G23" i="3"/>
  <c r="G22" i="3"/>
  <c r="D21" i="3"/>
  <c r="D22" i="3"/>
  <c r="G21" i="3"/>
  <c r="G4" i="3"/>
  <c r="G5" i="3"/>
  <c r="G6" i="3"/>
  <c r="G7" i="3"/>
  <c r="G8" i="3"/>
  <c r="G9" i="3"/>
  <c r="G10" i="3"/>
  <c r="G11" i="3"/>
  <c r="G14" i="3"/>
  <c r="G15" i="3"/>
  <c r="G16" i="3"/>
  <c r="G17" i="3"/>
  <c r="G18" i="3"/>
  <c r="G19" i="3"/>
  <c r="G20" i="3"/>
  <c r="G12" i="3"/>
  <c r="G13" i="3"/>
  <c r="G26" i="3"/>
  <c r="G27" i="3"/>
  <c r="G28" i="3"/>
  <c r="G29" i="3"/>
  <c r="G30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63" i="3"/>
  <c r="G64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3" i="3"/>
  <c r="J21" i="1"/>
  <c r="J22" i="1"/>
  <c r="K21" i="1"/>
  <c r="L21" i="1"/>
  <c r="K19" i="1"/>
  <c r="L19" i="1"/>
  <c r="K18" i="1"/>
  <c r="N18" i="1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F25" i="2"/>
  <c r="M25" i="2"/>
  <c r="L13" i="2"/>
  <c r="L16" i="2"/>
  <c r="L15" i="2"/>
  <c r="L14" i="2"/>
  <c r="L12" i="2"/>
  <c r="L11" i="2"/>
  <c r="L10" i="2"/>
  <c r="L9" i="2"/>
  <c r="L8" i="2"/>
  <c r="L7" i="2"/>
  <c r="L6" i="2"/>
  <c r="L5" i="2"/>
  <c r="F13" i="2"/>
  <c r="F19" i="2"/>
  <c r="F5" i="2"/>
  <c r="AA13" i="1" a="1"/>
  <c r="AA13" i="1"/>
  <c r="P15" i="1"/>
  <c r="Q15" i="1"/>
  <c r="R15" i="1"/>
  <c r="P18" i="1"/>
  <c r="Q18" i="1"/>
  <c r="P16" i="1"/>
  <c r="Q16" i="1"/>
  <c r="R16" i="1"/>
  <c r="S16" i="1"/>
  <c r="T16" i="1"/>
  <c r="V16" i="1"/>
  <c r="W16" i="1"/>
  <c r="P14" i="1"/>
  <c r="R14" i="1"/>
  <c r="AA12" i="1" a="1"/>
  <c r="AA12" i="1"/>
  <c r="E44" i="3"/>
  <c r="E43" i="3"/>
  <c r="D11" i="6"/>
  <c r="K87" i="7"/>
  <c r="L87" i="7"/>
  <c r="E88" i="7"/>
  <c r="J17" i="1"/>
  <c r="N19" i="1"/>
  <c r="K22" i="1"/>
  <c r="L22" i="1"/>
  <c r="AB13" i="1"/>
  <c r="AC13" i="1"/>
  <c r="N16" i="1"/>
  <c r="K14" i="1"/>
  <c r="L14" i="1"/>
  <c r="AA14" i="1" a="1"/>
  <c r="AA14" i="1"/>
  <c r="AB14" i="1"/>
  <c r="AC14" i="1"/>
  <c r="N12" i="1"/>
  <c r="AB12" i="1"/>
  <c r="AC12" i="1"/>
  <c r="S15" i="1"/>
  <c r="R18" i="1"/>
  <c r="S18" i="1"/>
  <c r="T18" i="1"/>
  <c r="U18" i="1"/>
  <c r="L13" i="1"/>
  <c r="K15" i="1"/>
  <c r="N15" i="1"/>
  <c r="K20" i="1"/>
  <c r="D19" i="3"/>
  <c r="E19" i="3"/>
  <c r="AA16" i="1" a="1"/>
  <c r="AA16" i="1"/>
  <c r="AB16" i="1"/>
  <c r="AC16" i="1"/>
  <c r="N22" i="1"/>
  <c r="L18" i="1"/>
  <c r="N21" i="1"/>
  <c r="K81" i="7"/>
  <c r="K60" i="7"/>
  <c r="E13" i="7"/>
  <c r="L2" i="7"/>
  <c r="L3" i="7"/>
  <c r="L4" i="7"/>
  <c r="L5" i="7"/>
  <c r="E30" i="7"/>
  <c r="L6" i="7"/>
  <c r="L7" i="7"/>
  <c r="L8" i="7"/>
  <c r="L9" i="7"/>
  <c r="L10" i="7"/>
  <c r="K11" i="7"/>
  <c r="K26" i="7"/>
  <c r="M26" i="2"/>
  <c r="M13" i="2"/>
  <c r="M14" i="2"/>
  <c r="M15" i="2"/>
  <c r="M16" i="2"/>
  <c r="R10" i="2"/>
  <c r="Q10" i="2"/>
  <c r="L17" i="2"/>
  <c r="L18" i="2"/>
  <c r="M5" i="2"/>
  <c r="M6" i="2"/>
  <c r="M7" i="2"/>
  <c r="M8" i="2"/>
  <c r="M9" i="2"/>
  <c r="M10" i="2"/>
  <c r="M11" i="2"/>
  <c r="M12" i="2"/>
  <c r="F38" i="2"/>
  <c r="L35" i="2"/>
  <c r="M27" i="2"/>
  <c r="M28" i="2"/>
  <c r="M29" i="2"/>
  <c r="M30" i="2"/>
  <c r="M31" i="2"/>
  <c r="M32" i="2"/>
  <c r="M33" i="2"/>
  <c r="M34" i="2"/>
  <c r="E46" i="7"/>
  <c r="E67" i="7"/>
  <c r="L60" i="7"/>
  <c r="K44" i="7"/>
  <c r="D15" i="1"/>
  <c r="E15" i="1"/>
  <c r="D16" i="1"/>
  <c r="E16" i="1"/>
  <c r="D18" i="1"/>
  <c r="E18" i="1"/>
  <c r="D23" i="3"/>
  <c r="D19" i="1"/>
  <c r="E19" i="1"/>
  <c r="D14" i="1"/>
  <c r="E14" i="1"/>
  <c r="E60" i="3"/>
  <c r="D22" i="1"/>
  <c r="E22" i="1"/>
  <c r="L81" i="7"/>
  <c r="L82" i="7"/>
  <c r="L83" i="7"/>
  <c r="L84" i="7"/>
  <c r="L85" i="7"/>
  <c r="N14" i="1"/>
  <c r="V18" i="1"/>
  <c r="W18" i="1"/>
  <c r="AA15" i="1" a="1"/>
  <c r="AA15" i="1"/>
  <c r="AB15" i="1"/>
  <c r="AC15" i="1"/>
  <c r="L20" i="1"/>
  <c r="D31" i="3"/>
  <c r="E31" i="3"/>
  <c r="D18" i="3"/>
  <c r="E18" i="3"/>
  <c r="D20" i="1"/>
  <c r="E20" i="1"/>
  <c r="D32" i="3"/>
  <c r="E32" i="3"/>
  <c r="D21" i="1"/>
  <c r="E21" i="1"/>
  <c r="L15" i="1"/>
  <c r="N20" i="1"/>
  <c r="R22" i="1"/>
  <c r="L26" i="7"/>
  <c r="L27" i="7"/>
  <c r="L28" i="7"/>
  <c r="K12" i="7"/>
  <c r="L12" i="7"/>
  <c r="K29" i="7"/>
  <c r="K30" i="7"/>
  <c r="L30" i="7"/>
  <c r="K45" i="7"/>
  <c r="K46" i="7"/>
  <c r="L46" i="7"/>
  <c r="T10" i="2"/>
  <c r="L19" i="2"/>
  <c r="M19" i="2"/>
  <c r="M18" i="2"/>
  <c r="M36" i="2"/>
  <c r="L61" i="7"/>
  <c r="L62" i="7"/>
  <c r="L63" i="7"/>
  <c r="L64" i="7"/>
  <c r="L65" i="7"/>
  <c r="L44" i="7"/>
  <c r="K66" i="7"/>
  <c r="L66" i="7"/>
  <c r="K88" i="7"/>
  <c r="L88" i="7"/>
  <c r="X24" i="1"/>
  <c r="N23" i="1"/>
  <c r="X18" i="1"/>
  <c r="Y18" i="1"/>
  <c r="O21" i="1"/>
  <c r="S21" i="1"/>
  <c r="S29" i="1"/>
  <c r="P21" i="1"/>
  <c r="L23" i="1"/>
  <c r="P22" i="1"/>
  <c r="R21" i="1"/>
  <c r="R30" i="1"/>
  <c r="D1" i="3"/>
  <c r="T22" i="1"/>
  <c r="S22" i="1"/>
  <c r="S30" i="1"/>
  <c r="R29" i="1"/>
  <c r="S20" i="1"/>
  <c r="S28" i="1"/>
  <c r="T20" i="1"/>
  <c r="U20" i="1"/>
  <c r="O20" i="1"/>
  <c r="Q20" i="1"/>
  <c r="R20" i="1"/>
  <c r="P20" i="1"/>
  <c r="R28" i="1"/>
  <c r="Q28" i="1"/>
  <c r="T19" i="1"/>
  <c r="R19" i="1"/>
  <c r="O19" i="1"/>
  <c r="S19" i="1"/>
  <c r="Q19" i="1"/>
  <c r="U19" i="1"/>
  <c r="P19" i="1"/>
  <c r="R31" i="1"/>
  <c r="O22" i="1"/>
  <c r="Q22" i="1"/>
  <c r="U21" i="1"/>
  <c r="Q21" i="1"/>
  <c r="T21" i="1"/>
  <c r="U22" i="1"/>
  <c r="K13" i="7"/>
  <c r="L13" i="7"/>
  <c r="V24" i="1"/>
  <c r="V22" i="1"/>
  <c r="O66" i="7"/>
  <c r="O67" i="7"/>
  <c r="L45" i="7"/>
  <c r="L29" i="7"/>
  <c r="L37" i="2"/>
  <c r="M37" i="2"/>
  <c r="U10" i="2"/>
  <c r="X22" i="1"/>
  <c r="X20" i="1"/>
  <c r="Y20" i="1"/>
  <c r="Y19" i="1"/>
  <c r="Y21" i="1"/>
  <c r="AA18" i="1" a="1"/>
  <c r="AA18" i="1" s="1"/>
  <c r="AB18" i="1" s="1"/>
  <c r="AC18" i="1" s="1"/>
  <c r="X19" i="1"/>
  <c r="X21" i="1"/>
  <c r="Y22" i="1"/>
  <c r="P23" i="1"/>
  <c r="Q29" i="1"/>
  <c r="Q30" i="1"/>
  <c r="T30" i="1"/>
  <c r="T29" i="1"/>
  <c r="R23" i="1"/>
  <c r="U23" i="1"/>
  <c r="Q23" i="1"/>
  <c r="S27" i="1"/>
  <c r="S23" i="1"/>
  <c r="T28" i="1"/>
  <c r="O23" i="1"/>
  <c r="T27" i="1"/>
  <c r="T23" i="1"/>
  <c r="V19" i="1"/>
  <c r="V21" i="1"/>
  <c r="V20" i="1"/>
  <c r="W24" i="1"/>
  <c r="K67" i="7"/>
  <c r="L67" i="7"/>
  <c r="L38" i="2"/>
  <c r="Q11" i="2"/>
  <c r="Q12" i="2"/>
  <c r="V11" i="2"/>
  <c r="W11" i="2"/>
  <c r="Y23" i="1"/>
  <c r="X23" i="1"/>
  <c r="V23" i="1"/>
  <c r="W21" i="1"/>
  <c r="W20" i="1"/>
  <c r="W22" i="1"/>
  <c r="W19" i="1"/>
  <c r="M38" i="2"/>
  <c r="R11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W23" i="1"/>
  <c r="R12" i="2"/>
  <c r="R13" i="2"/>
  <c r="R14" i="2"/>
  <c r="R15" i="2"/>
  <c r="R16" i="2"/>
  <c r="V16" i="2"/>
  <c r="W16" i="2"/>
  <c r="R17" i="2"/>
  <c r="T16" i="2"/>
  <c r="V17" i="2"/>
  <c r="W17" i="2"/>
  <c r="T17" i="2"/>
  <c r="R18" i="2"/>
  <c r="V18" i="2"/>
  <c r="W18" i="2"/>
  <c r="R19" i="2"/>
  <c r="T18" i="2"/>
  <c r="T19" i="2"/>
  <c r="R20" i="2"/>
  <c r="V19" i="2"/>
  <c r="W19" i="2"/>
  <c r="V20" i="2"/>
  <c r="W20" i="2"/>
  <c r="R21" i="2"/>
  <c r="T20" i="2"/>
  <c r="R22" i="2"/>
  <c r="V21" i="2"/>
  <c r="W21" i="2"/>
  <c r="T21" i="2"/>
  <c r="R23" i="2"/>
  <c r="V22" i="2"/>
  <c r="W22" i="2"/>
  <c r="T22" i="2"/>
  <c r="R24" i="2"/>
  <c r="V23" i="2"/>
  <c r="W23" i="2"/>
  <c r="T23" i="2"/>
  <c r="V24" i="2"/>
  <c r="W24" i="2"/>
  <c r="T24" i="2"/>
  <c r="R25" i="2"/>
  <c r="R26" i="2"/>
  <c r="T25" i="2"/>
  <c r="V25" i="2"/>
  <c r="W25" i="2"/>
  <c r="V26" i="2"/>
  <c r="W26" i="2"/>
  <c r="R27" i="2"/>
  <c r="T26" i="2"/>
  <c r="R28" i="2"/>
  <c r="T27" i="2"/>
  <c r="V27" i="2"/>
  <c r="W27" i="2"/>
  <c r="V28" i="2"/>
  <c r="W28" i="2"/>
  <c r="R29" i="2"/>
  <c r="T28" i="2"/>
  <c r="T29" i="2"/>
  <c r="V29" i="2"/>
  <c r="W29" i="2"/>
  <c r="R30" i="2"/>
  <c r="V30" i="2"/>
  <c r="W30" i="2"/>
  <c r="T30" i="2"/>
  <c r="U15" i="2"/>
  <c r="V15" i="2"/>
  <c r="W15" i="2"/>
  <c r="T15" i="2"/>
  <c r="U14" i="2"/>
  <c r="V14" i="2"/>
  <c r="W14" i="2"/>
  <c r="T14" i="2"/>
  <c r="U13" i="2"/>
  <c r="V13" i="2"/>
  <c r="W13" i="2"/>
  <c r="T13" i="2"/>
  <c r="T12" i="2"/>
  <c r="U12" i="2"/>
  <c r="V12" i="2"/>
  <c r="W12" i="2"/>
  <c r="O134" i="8" l="1"/>
  <c r="O139" i="8"/>
  <c r="O138" i="8"/>
  <c r="O132" i="8"/>
  <c r="O140" i="8"/>
  <c r="O137" i="8"/>
  <c r="O136" i="8"/>
  <c r="O135" i="8"/>
  <c r="O133" i="8"/>
  <c r="O141" i="8"/>
  <c r="O111" i="8"/>
  <c r="E150" i="8"/>
  <c r="K142" i="8"/>
  <c r="O7" i="8"/>
  <c r="O82" i="8"/>
  <c r="O75" i="8"/>
  <c r="K120" i="8"/>
  <c r="O110" i="8"/>
  <c r="O120" i="8" s="1"/>
  <c r="E128" i="8"/>
  <c r="E106" i="8"/>
  <c r="N76" i="8"/>
  <c r="K98" i="8"/>
  <c r="O88" i="8"/>
  <c r="N98" i="8"/>
  <c r="O74" i="8"/>
  <c r="O11" i="8"/>
  <c r="O12" i="8"/>
  <c r="O9" i="8"/>
  <c r="O66" i="8"/>
  <c r="O76" i="8" s="1"/>
  <c r="E84" i="8"/>
  <c r="K76" i="8"/>
  <c r="N55" i="8"/>
  <c r="N62" i="8" s="1"/>
  <c r="O45" i="8"/>
  <c r="O55" i="8" s="1"/>
  <c r="O59" i="8"/>
  <c r="E62" i="8"/>
  <c r="K55" i="8"/>
  <c r="N13" i="8"/>
  <c r="E20" i="8"/>
  <c r="K34" i="8"/>
  <c r="E41" i="8"/>
  <c r="O25" i="8"/>
  <c r="O34" i="8" s="1"/>
  <c r="K13" i="8"/>
  <c r="O5" i="8"/>
  <c r="N130" i="7"/>
  <c r="L123" i="7"/>
  <c r="L124" i="7" s="1"/>
  <c r="L125" i="7" s="1"/>
  <c r="L126" i="7" s="1"/>
  <c r="L127" i="7" s="1"/>
  <c r="L128" i="7" s="1"/>
  <c r="K129" i="7" s="1"/>
  <c r="O92" i="7"/>
  <c r="O102" i="7" s="1"/>
  <c r="O109" i="7" s="1"/>
  <c r="O123" i="7"/>
  <c r="N142" i="8" l="1"/>
  <c r="O142" i="8"/>
  <c r="O150" i="8" s="1"/>
  <c r="Q150" i="8" s="1"/>
  <c r="L142" i="8"/>
  <c r="L143" i="8" s="1"/>
  <c r="L144" i="8" s="1"/>
  <c r="L145" i="8" s="1"/>
  <c r="L146" i="8" s="1"/>
  <c r="L147" i="8" s="1"/>
  <c r="L148" i="8" s="1"/>
  <c r="L120" i="8"/>
  <c r="L121" i="8" s="1"/>
  <c r="L122" i="8" s="1"/>
  <c r="L123" i="8" s="1"/>
  <c r="L124" i="8" s="1"/>
  <c r="L125" i="8" s="1"/>
  <c r="L126" i="8" s="1"/>
  <c r="K127" i="8" s="1"/>
  <c r="L98" i="8"/>
  <c r="L99" i="8" s="1"/>
  <c r="L100" i="8" s="1"/>
  <c r="L101" i="8" s="1"/>
  <c r="L102" i="8" s="1"/>
  <c r="L103" i="8" s="1"/>
  <c r="L104" i="8" s="1"/>
  <c r="K105" i="8" s="1"/>
  <c r="O96" i="8"/>
  <c r="O98" i="8" s="1"/>
  <c r="L34" i="8"/>
  <c r="L35" i="8" s="1"/>
  <c r="L36" i="8" s="1"/>
  <c r="L37" i="8" s="1"/>
  <c r="L38" i="8" s="1"/>
  <c r="L39" i="8" s="1"/>
  <c r="K40" i="8" s="1"/>
  <c r="O13" i="8"/>
  <c r="L13" i="8"/>
  <c r="L14" i="8" s="1"/>
  <c r="L15" i="8" s="1"/>
  <c r="L16" i="8" s="1"/>
  <c r="L17" i="8" s="1"/>
  <c r="L18" i="8" s="1"/>
  <c r="K19" i="8" s="1"/>
  <c r="L19" i="8" s="1"/>
  <c r="L76" i="8"/>
  <c r="L55" i="8"/>
  <c r="L56" i="8" s="1"/>
  <c r="L57" i="8" s="1"/>
  <c r="L58" i="8" s="1"/>
  <c r="L59" i="8" s="1"/>
  <c r="L60" i="8" s="1"/>
  <c r="K61" i="8" s="1"/>
  <c r="N20" i="8"/>
  <c r="L129" i="7"/>
  <c r="O129" i="7"/>
  <c r="O130" i="7" s="1"/>
  <c r="K130" i="7"/>
  <c r="L130" i="7" s="1"/>
  <c r="K150" i="8" l="1"/>
  <c r="L150" i="8" s="1"/>
  <c r="N149" i="8"/>
  <c r="O149" i="8" s="1"/>
  <c r="L149" i="8"/>
  <c r="K106" i="8"/>
  <c r="L106" i="8" s="1"/>
  <c r="K20" i="8"/>
  <c r="L20" i="8" s="1"/>
  <c r="L127" i="8"/>
  <c r="O127" i="8"/>
  <c r="O128" i="8" s="1"/>
  <c r="K128" i="8"/>
  <c r="L128" i="8" s="1"/>
  <c r="N106" i="8"/>
  <c r="L77" i="8"/>
  <c r="L78" i="8" s="1"/>
  <c r="L79" i="8" s="1"/>
  <c r="L80" i="8" s="1"/>
  <c r="L81" i="8" s="1"/>
  <c r="L82" i="8" s="1"/>
  <c r="K83" i="8" s="1"/>
  <c r="L61" i="8"/>
  <c r="O40" i="8"/>
  <c r="O41" i="8" s="1"/>
  <c r="K41" i="8"/>
  <c r="L41" i="8" s="1"/>
  <c r="L40" i="8"/>
  <c r="O19" i="8"/>
  <c r="O20" i="8" s="1"/>
  <c r="Q20" i="8" s="1"/>
  <c r="Z22" i="1"/>
  <c r="Z21" i="1"/>
  <c r="Z20" i="1"/>
  <c r="Z19" i="1"/>
  <c r="N150" i="8" l="1"/>
  <c r="J149" i="8"/>
  <c r="Q128" i="8"/>
  <c r="L105" i="8"/>
  <c r="J127" i="8"/>
  <c r="O105" i="8"/>
  <c r="O106" i="8" s="1"/>
  <c r="O107" i="8" s="1"/>
  <c r="L83" i="8"/>
  <c r="N83" i="8"/>
  <c r="N84" i="8"/>
  <c r="O83" i="8"/>
  <c r="O84" i="8" s="1"/>
  <c r="O85" i="8" s="1"/>
  <c r="K84" i="8"/>
  <c r="L84" i="8" s="1"/>
  <c r="O61" i="8"/>
  <c r="K62" i="8"/>
  <c r="L62" i="8" s="1"/>
  <c r="AA20" i="1" a="1"/>
  <c r="AA20" i="1" s="1"/>
  <c r="AB20" i="1" s="1"/>
  <c r="AC20" i="1" s="1"/>
  <c r="Z28" i="1"/>
  <c r="AA28" i="1" s="1"/>
  <c r="Z27" i="1"/>
  <c r="AA27" i="1" s="1"/>
  <c r="AA21" i="1" a="1"/>
  <c r="AA21" i="1" s="1"/>
  <c r="AB21" i="1" s="1"/>
  <c r="AC21" i="1" s="1"/>
  <c r="Z29" i="1"/>
  <c r="AA29" i="1" s="1"/>
  <c r="AA22" i="1" a="1"/>
  <c r="AA22" i="1" s="1"/>
  <c r="AB22" i="1" s="1"/>
  <c r="AC22" i="1" s="1"/>
  <c r="Z30" i="1"/>
  <c r="AA30" i="1" s="1"/>
  <c r="AA19" i="1" a="1"/>
  <c r="AA19" i="1" s="1"/>
  <c r="Z23" i="1"/>
  <c r="O62" i="8" l="1"/>
  <c r="AB19" i="1"/>
  <c r="AA23" i="1"/>
  <c r="AC19" i="1" l="1"/>
  <c r="AC23" i="1" s="1"/>
  <c r="AB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tc={7632ECDE-4C56-4F0A-A387-9BC0FB1935B9}</author>
  </authors>
  <commentList>
    <comment ref="N141" authorId="0" shapeId="0" xr:uid="{7632ECDE-4C56-4F0A-A387-9BC0FB1935B9}">
      <text>
        <t>[Threaded comment]
Your version of Excel allows you to read this threaded comment; however, any edits to it will get removed if the file is opened in a newer version of Excel. Learn more: https://go.microsoft.com/fwlink/?linkid=870924
Comment:
    Utang Farhan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<sst xmlns="http://schemas.openxmlformats.org/spreadsheetml/2006/main" count="1203" uniqueCount="216">
  <si>
    <t>Pengeluaran</t>
  </si>
  <si>
    <t>Sewa Kos</t>
  </si>
  <si>
    <t>Bulanan</t>
  </si>
  <si>
    <t>Makan</t>
  </si>
  <si>
    <t>Harian</t>
  </si>
  <si>
    <t>Transportasi</t>
  </si>
  <si>
    <t>Mingguan</t>
  </si>
  <si>
    <t>Listrik</t>
  </si>
  <si>
    <t>Laundry</t>
  </si>
  <si>
    <t>Paket data</t>
  </si>
  <si>
    <t>Google Photos</t>
  </si>
  <si>
    <t>Vidio</t>
  </si>
  <si>
    <t>Perawatan diri</t>
  </si>
  <si>
    <t>Potong rambut</t>
  </si>
  <si>
    <t>Hiburan</t>
  </si>
  <si>
    <t>Dana Cadangan</t>
  </si>
  <si>
    <t>Pendapatan</t>
  </si>
  <si>
    <t>Gaji</t>
  </si>
  <si>
    <t>Orang tua</t>
  </si>
  <si>
    <t>Invest</t>
  </si>
  <si>
    <t>Total</t>
  </si>
  <si>
    <t>Current</t>
  </si>
  <si>
    <t>Estimated</t>
  </si>
  <si>
    <t>Balance</t>
  </si>
  <si>
    <t>Dasar</t>
  </si>
  <si>
    <t>Pribadi</t>
  </si>
  <si>
    <t>Total Kebutuhan</t>
  </si>
  <si>
    <t>Transfer keluarga</t>
  </si>
  <si>
    <t>Time frame</t>
  </si>
  <si>
    <t>Goals</t>
  </si>
  <si>
    <t>Date</t>
  </si>
  <si>
    <t>Months</t>
  </si>
  <si>
    <t>Nominal</t>
  </si>
  <si>
    <t>Jangka Pendek (1,5 tahun / 2025 / 23)</t>
  </si>
  <si>
    <t>Upgrade outfit kerja</t>
  </si>
  <si>
    <t>Dana Darurat</t>
  </si>
  <si>
    <t>Menikah</t>
  </si>
  <si>
    <t>Jangka Menengah (5 tahun / 2029 / 27)</t>
  </si>
  <si>
    <t>Inflasi</t>
  </si>
  <si>
    <t>Kenaikan properti</t>
  </si>
  <si>
    <t>Kenaikan kendaraan</t>
  </si>
  <si>
    <t>Jangka Masa Depan (30 tahun / 2054 / 52)</t>
  </si>
  <si>
    <t>Future Value</t>
  </si>
  <si>
    <t>Income</t>
  </si>
  <si>
    <t>Year</t>
  </si>
  <si>
    <t>Start</t>
  </si>
  <si>
    <t>Expense</t>
  </si>
  <si>
    <t>%</t>
  </si>
  <si>
    <t>Growth Income</t>
  </si>
  <si>
    <t>Jajan dan Lainnya</t>
  </si>
  <si>
    <t>Cadangan</t>
  </si>
  <si>
    <t>Pindahan di Jogja</t>
  </si>
  <si>
    <t>Balik Tegal</t>
  </si>
  <si>
    <t>Wisuda (Fotografer, makeup, outfit, tiket bolak balik)</t>
  </si>
  <si>
    <t>Started date</t>
  </si>
  <si>
    <t>Dana Pensiun</t>
  </si>
  <si>
    <t>Tabungan</t>
  </si>
  <si>
    <t>Return</t>
  </si>
  <si>
    <t>Rks. Pasar Uang</t>
  </si>
  <si>
    <t>Rks. Campuran</t>
  </si>
  <si>
    <t>Rks. Saham</t>
  </si>
  <si>
    <t>Present Value</t>
  </si>
  <si>
    <t>Payment</t>
  </si>
  <si>
    <t/>
  </si>
  <si>
    <t>Selisih</t>
  </si>
  <si>
    <t>KPR Rumah</t>
  </si>
  <si>
    <t>Jangka Panjang (10 tahun / 2034 / 32)</t>
  </si>
  <si>
    <t>Mobil</t>
  </si>
  <si>
    <t>Rks. Obligasi</t>
  </si>
  <si>
    <t>Self Reward (Upgrade HP / Liburan)</t>
  </si>
  <si>
    <t>Kode</t>
  </si>
  <si>
    <t>A1</t>
  </si>
  <si>
    <t>D1</t>
  </si>
  <si>
    <t>A2</t>
  </si>
  <si>
    <t>A3</t>
  </si>
  <si>
    <t>A4</t>
  </si>
  <si>
    <t>A5</t>
  </si>
  <si>
    <t>B1</t>
  </si>
  <si>
    <t>B2</t>
  </si>
  <si>
    <t>C1</t>
  </si>
  <si>
    <t>C2</t>
  </si>
  <si>
    <t>Progress</t>
  </si>
  <si>
    <t>Period</t>
  </si>
  <si>
    <t>Product</t>
  </si>
  <si>
    <t>Platform</t>
  </si>
  <si>
    <t>Goal</t>
  </si>
  <si>
    <t>Bibit</t>
  </si>
  <si>
    <t>Code</t>
  </si>
  <si>
    <t>Saham</t>
  </si>
  <si>
    <t>NVDA</t>
  </si>
  <si>
    <t>Pluang</t>
  </si>
  <si>
    <t>RDPU</t>
  </si>
  <si>
    <t>RDCA</t>
  </si>
  <si>
    <t>RDPT</t>
  </si>
  <si>
    <t>RDSA</t>
  </si>
  <si>
    <t>Bitcoin</t>
  </si>
  <si>
    <t>BTC</t>
  </si>
  <si>
    <t>Row Labels</t>
  </si>
  <si>
    <t>(blank)</t>
  </si>
  <si>
    <t>Grand Total</t>
  </si>
  <si>
    <t>Oct</t>
  </si>
  <si>
    <t>Nov</t>
  </si>
  <si>
    <t>Sum of Nominal</t>
  </si>
  <si>
    <t>Desc</t>
  </si>
  <si>
    <t>Jago</t>
  </si>
  <si>
    <t>JAGO</t>
  </si>
  <si>
    <t>Updated Date</t>
  </si>
  <si>
    <t>Progress (N)</t>
  </si>
  <si>
    <t>PV</t>
  </si>
  <si>
    <t>#N/A</t>
  </si>
  <si>
    <t>Keterangan</t>
  </si>
  <si>
    <t>Switch to B2, D1</t>
  </si>
  <si>
    <t>Switch from C1</t>
  </si>
  <si>
    <t>Switch from C2</t>
  </si>
  <si>
    <t>Switch to D1</t>
  </si>
  <si>
    <t>RDPC</t>
  </si>
  <si>
    <t>Stockbit</t>
  </si>
  <si>
    <t>AADI</t>
  </si>
  <si>
    <t>Dec</t>
  </si>
  <si>
    <t>Withdrawn</t>
  </si>
  <si>
    <t>Foto</t>
  </si>
  <si>
    <t>Toga + Jubah</t>
  </si>
  <si>
    <t>PP YK JKT</t>
  </si>
  <si>
    <t>Sewa Jas</t>
  </si>
  <si>
    <t>Beli Sepatu</t>
  </si>
  <si>
    <t>Scaling gigi</t>
  </si>
  <si>
    <t>Hotel Jumat Sabtu</t>
  </si>
  <si>
    <t>Jan</t>
  </si>
  <si>
    <t>SPY</t>
  </si>
  <si>
    <t>Withdrawn with profit</t>
  </si>
  <si>
    <t>CBDK</t>
  </si>
  <si>
    <t>RATU</t>
  </si>
  <si>
    <t>QQQ</t>
  </si>
  <si>
    <t>Realisasi</t>
  </si>
  <si>
    <t>Item</t>
  </si>
  <si>
    <t>Budget</t>
  </si>
  <si>
    <t>Notes</t>
  </si>
  <si>
    <t>Take Profit</t>
  </si>
  <si>
    <t>Feb</t>
  </si>
  <si>
    <t>SpayLater</t>
  </si>
  <si>
    <t>Saving</t>
  </si>
  <si>
    <t>Mar</t>
  </si>
  <si>
    <t>THR</t>
  </si>
  <si>
    <t>Sekali</t>
  </si>
  <si>
    <t>BSI</t>
  </si>
  <si>
    <t>THR Keluarga</t>
  </si>
  <si>
    <t>Spending Lebaran</t>
  </si>
  <si>
    <t>April</t>
  </si>
  <si>
    <t>Mei</t>
  </si>
  <si>
    <t>Juni</t>
  </si>
  <si>
    <t>Apr</t>
  </si>
  <si>
    <t>Kasih Ortu</t>
  </si>
  <si>
    <t>Air Minum</t>
  </si>
  <si>
    <t>Mentoting BAK</t>
  </si>
  <si>
    <t>Juli</t>
  </si>
  <si>
    <t>Restricted fund</t>
  </si>
  <si>
    <t>Last month</t>
  </si>
  <si>
    <t>Sedekah</t>
  </si>
  <si>
    <t>A6</t>
  </si>
  <si>
    <t>Zakat</t>
  </si>
  <si>
    <t>Started</t>
  </si>
  <si>
    <t>Used</t>
  </si>
  <si>
    <t>Les Inggris - Golden English</t>
  </si>
  <si>
    <t>TOEFL ITP</t>
  </si>
  <si>
    <t>Agustus</t>
  </si>
  <si>
    <t>Cicilan sepeda</t>
  </si>
  <si>
    <t>September</t>
  </si>
  <si>
    <t>Cicilan</t>
  </si>
  <si>
    <t>Tiket kereta</t>
  </si>
  <si>
    <t>BCA</t>
  </si>
  <si>
    <t>BPJS TK</t>
  </si>
  <si>
    <t>Februari</t>
  </si>
  <si>
    <t>Paylater</t>
  </si>
  <si>
    <t>Persiapan OJT</t>
  </si>
  <si>
    <t>Maret</t>
  </si>
  <si>
    <t>Batik, Sabuk, Celana Hitam</t>
  </si>
  <si>
    <t>Paketin ke Jakarta</t>
  </si>
  <si>
    <t>Piutang</t>
  </si>
  <si>
    <t>Sisa Maret</t>
  </si>
  <si>
    <t>Lynk.id</t>
  </si>
  <si>
    <t>PP - MySkill</t>
  </si>
  <si>
    <t>Ambil Dana Darurat</t>
  </si>
  <si>
    <t>Hadiah sidang</t>
  </si>
  <si>
    <t>Jual sepeda</t>
  </si>
  <si>
    <t>Beli panci listrik</t>
  </si>
  <si>
    <t>Jalan jalan Jakarta</t>
  </si>
  <si>
    <t>Beli sepeda</t>
  </si>
  <si>
    <t>Untung WBSA</t>
  </si>
  <si>
    <t>PP - Kita Lulus</t>
  </si>
  <si>
    <t>PP- Cocareer</t>
  </si>
  <si>
    <t>Maketin barang ke Tegal</t>
  </si>
  <si>
    <t>Selama di Hotel</t>
  </si>
  <si>
    <t>Selama di Tegal</t>
  </si>
  <si>
    <t>PP Jogja Tegal</t>
  </si>
  <si>
    <t xml:space="preserve">Hadiah </t>
  </si>
  <si>
    <t>Reimburse</t>
  </si>
  <si>
    <t>Sisa bulan April</t>
  </si>
  <si>
    <t>Pindah bulan depan</t>
  </si>
  <si>
    <t>Ngecilin Baju</t>
  </si>
  <si>
    <t>PP - Parfum</t>
  </si>
  <si>
    <t>PP - Tempat Belajar</t>
  </si>
  <si>
    <t>PP - Barber Daily</t>
  </si>
  <si>
    <t>PP - Wanda</t>
  </si>
  <si>
    <t>Casing + TG + Jersey Sepeda</t>
  </si>
  <si>
    <t>Ortu</t>
  </si>
  <si>
    <t>Zidni</t>
  </si>
  <si>
    <t>UKT Zidni</t>
  </si>
  <si>
    <t>Beli HP Zakiya</t>
  </si>
  <si>
    <t>Abah</t>
  </si>
  <si>
    <t>Sisa bulan lalu</t>
  </si>
  <si>
    <t>Zakiya</t>
  </si>
  <si>
    <t>Jual Smartwatch]</t>
  </si>
  <si>
    <t>Sisa Bulan Juli</t>
  </si>
  <si>
    <t>Jual My Pertamina</t>
  </si>
  <si>
    <t>Jual Proyektor</t>
  </si>
  <si>
    <t>Kondangan Wafi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</si>
</sst>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000"/>
    <numFmt numFmtId="165" formatCode="_-* #,##0_-;\-* #,##0_-;_-* &quot;-&quot;??_-;_-@_-"/>
    <numFmt numFmtId="166" formatCode="#,##0.0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6" xfId="0" applyFont="1" applyBorder="1"/>
    <xf numFmtId="3" fontId="1" fillId="0" borderId="6" xfId="0" applyNumberFormat="1" applyFont="1" applyBorder="1"/>
    <xf numFmtId="4" fontId="1" fillId="0" borderId="6" xfId="0" applyNumberFormat="1" applyFont="1" applyBorder="1"/>
    <xf numFmtId="0" fontId="1" fillId="0" borderId="5" xfId="0" applyFont="1" applyBorder="1"/>
    <xf numFmtId="3" fontId="1" fillId="0" borderId="5" xfId="0" applyNumberFormat="1" applyFont="1" applyBorder="1"/>
    <xf numFmtId="4" fontId="1" fillId="0" borderId="5" xfId="0" applyNumberFormat="1" applyFont="1" applyBorder="1"/>
    <xf numFmtId="0" fontId="1" fillId="0" borderId="7" xfId="0" applyFont="1" applyBorder="1"/>
    <xf numFmtId="3" fontId="3" fillId="0" borderId="1" xfId="0" applyNumberFormat="1" applyFont="1" applyBorder="1"/>
    <xf numFmtId="0" fontId="3" fillId="0" borderId="1" xfId="0" applyFont="1" applyBorder="1"/>
    <xf numFmtId="3" fontId="1" fillId="0" borderId="8" xfId="0" applyNumberFormat="1" applyFont="1" applyBorder="1"/>
    <xf numFmtId="0" fontId="1" fillId="0" borderId="9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3" fontId="3" fillId="0" borderId="4" xfId="0" applyNumberFormat="1" applyFont="1" applyBorder="1"/>
    <xf numFmtId="3" fontId="3" fillId="0" borderId="10" xfId="0" applyNumberFormat="1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12" xfId="0" applyFont="1" applyBorder="1"/>
    <xf numFmtId="3" fontId="1" fillId="0" borderId="13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0" fontId="3" fillId="0" borderId="1" xfId="0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3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17" fontId="1" fillId="0" borderId="1" xfId="0" applyNumberFormat="1" applyFont="1" applyBorder="1"/>
    <xf numFmtId="3" fontId="5" fillId="0" borderId="1" xfId="0" applyNumberFormat="1" applyFont="1" applyBorder="1"/>
    <xf numFmtId="9" fontId="1" fillId="0" borderId="1" xfId="0" applyNumberFormat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7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10" fontId="1" fillId="0" borderId="0" xfId="1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7" fontId="3" fillId="0" borderId="1" xfId="0" applyNumberFormat="1" applyFont="1" applyBorder="1" applyAlignment="1">
      <alignment horizontal="center" vertical="center"/>
    </xf>
    <xf numFmtId="3" fontId="1" fillId="0" borderId="0" xfId="0" quotePrefix="1" applyNumberFormat="1" applyFont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65" fontId="0" fillId="0" borderId="0" xfId="2" applyNumberFormat="1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5" fontId="7" fillId="0" borderId="1" xfId="2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4" fontId="0" fillId="0" borderId="1" xfId="0" applyNumberFormat="1" applyBorder="1"/>
    <xf numFmtId="165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0" xfId="0" applyNumberFormat="1"/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43" fontId="1" fillId="0" borderId="1" xfId="2" applyFont="1" applyBorder="1" applyAlignment="1">
      <alignment horizontal="left" vertical="center"/>
    </xf>
    <xf numFmtId="9" fontId="1" fillId="0" borderId="1" xfId="1" applyFont="1" applyBorder="1" applyAlignment="1">
      <alignment horizontal="center" vertical="center"/>
    </xf>
    <xf numFmtId="165" fontId="1" fillId="0" borderId="0" xfId="2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5" fontId="1" fillId="0" borderId="1" xfId="2" applyNumberFormat="1" applyFont="1" applyBorder="1" applyAlignment="1">
      <alignment vertical="center"/>
    </xf>
    <xf numFmtId="165" fontId="1" fillId="0" borderId="10" xfId="2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165" fontId="3" fillId="0" borderId="0" xfId="2" applyNumberFormat="1" applyFont="1" applyAlignment="1">
      <alignment vertical="center"/>
    </xf>
    <xf numFmtId="165" fontId="0" fillId="0" borderId="7" xfId="0" applyNumberFormat="1" applyBorder="1"/>
    <xf numFmtId="3" fontId="3" fillId="0" borderId="0" xfId="0" applyNumberFormat="1" applyFont="1" applyAlignment="1">
      <alignment horizontal="center" vertical="center"/>
    </xf>
    <xf numFmtId="165" fontId="1" fillId="0" borderId="0" xfId="2" applyNumberFormat="1" applyFont="1" applyBorder="1" applyAlignment="1">
      <alignment vertical="center"/>
    </xf>
    <xf numFmtId="165" fontId="3" fillId="0" borderId="0" xfId="2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165" fontId="3" fillId="0" borderId="11" xfId="2" applyNumberFormat="1" applyFont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3" fontId="0" fillId="0" borderId="0" xfId="0" applyNumberFormat="1"/>
    <xf numFmtId="3" fontId="1" fillId="0" borderId="10" xfId="0" applyNumberFormat="1" applyFont="1" applyBorder="1" applyAlignment="1">
      <alignment vertical="center"/>
    </xf>
    <xf numFmtId="0" fontId="0" fillId="0" borderId="0" xfId="0" quotePrefix="1"/>
    <xf numFmtId="0" fontId="3" fillId="0" borderId="5" xfId="0" applyFont="1" applyBorder="1" applyAlignment="1">
      <alignment horizontal="center"/>
    </xf>
    <xf numFmtId="165" fontId="0" fillId="0" borderId="1" xfId="0" applyNumberFormat="1" applyBorder="1"/>
    <xf numFmtId="3" fontId="1" fillId="0" borderId="7" xfId="0" applyNumberFormat="1" applyFont="1" applyBorder="1"/>
    <xf numFmtId="165" fontId="1" fillId="2" borderId="1" xfId="2" applyNumberFormat="1" applyFont="1" applyFill="1" applyBorder="1" applyAlignment="1">
      <alignment vertical="center"/>
    </xf>
    <xf numFmtId="3" fontId="1" fillId="3" borderId="3" xfId="0" applyNumberFormat="1" applyFont="1" applyFill="1" applyBorder="1"/>
    <xf numFmtId="3" fontId="1" fillId="3" borderId="2" xfId="0" applyNumberFormat="1" applyFont="1" applyFill="1" applyBorder="1"/>
    <xf numFmtId="166" fontId="3" fillId="0" borderId="0" xfId="0" applyNumberFormat="1" applyFont="1" applyAlignment="1">
      <alignment horizontal="center" vertical="center"/>
    </xf>
    <xf numFmtId="17" fontId="1" fillId="0" borderId="1" xfId="0" applyNumberFormat="1" applyFont="1" applyBorder="1" applyAlignment="1">
      <alignment horizontal="left" vertical="center"/>
    </xf>
    <xf numFmtId="43" fontId="1" fillId="0" borderId="0" xfId="2" applyFont="1"/>
    <xf numFmtId="165" fontId="1" fillId="0" borderId="0" xfId="2" applyNumberFormat="1" applyFont="1"/>
    <xf numFmtId="165" fontId="3" fillId="0" borderId="0" xfId="2" applyNumberFormat="1" applyFont="1" applyAlignment="1">
      <alignment horizontal="center"/>
    </xf>
    <xf numFmtId="165" fontId="1" fillId="0" borderId="3" xfId="2" applyNumberFormat="1" applyFont="1" applyBorder="1"/>
    <xf numFmtId="165" fontId="3" fillId="0" borderId="1" xfId="2" applyNumberFormat="1" applyFont="1" applyBorder="1"/>
    <xf numFmtId="0" fontId="9" fillId="0" borderId="5" xfId="0" applyFont="1" applyBorder="1" applyAlignment="1">
      <alignment horizontal="center"/>
    </xf>
    <xf numFmtId="165" fontId="9" fillId="0" borderId="0" xfId="2" applyNumberFormat="1" applyFont="1" applyAlignment="1">
      <alignment horizontal="center"/>
    </xf>
    <xf numFmtId="0" fontId="10" fillId="0" borderId="1" xfId="0" applyFont="1" applyBorder="1"/>
    <xf numFmtId="3" fontId="10" fillId="0" borderId="1" xfId="0" applyNumberFormat="1" applyFont="1" applyBorder="1"/>
    <xf numFmtId="4" fontId="10" fillId="0" borderId="1" xfId="0" applyNumberFormat="1" applyFont="1" applyBorder="1"/>
    <xf numFmtId="0" fontId="10" fillId="0" borderId="6" xfId="0" applyFont="1" applyBorder="1"/>
    <xf numFmtId="3" fontId="10" fillId="0" borderId="6" xfId="0" applyNumberFormat="1" applyFont="1" applyBorder="1"/>
    <xf numFmtId="4" fontId="10" fillId="0" borderId="6" xfId="0" applyNumberFormat="1" applyFont="1" applyBorder="1"/>
    <xf numFmtId="3" fontId="10" fillId="0" borderId="13" xfId="0" applyNumberFormat="1" applyFont="1" applyBorder="1"/>
    <xf numFmtId="3" fontId="10" fillId="0" borderId="5" xfId="0" applyNumberFormat="1" applyFont="1" applyBorder="1"/>
    <xf numFmtId="3" fontId="10" fillId="0" borderId="2" xfId="0" applyNumberFormat="1" applyFont="1" applyBorder="1"/>
    <xf numFmtId="3" fontId="10" fillId="0" borderId="7" xfId="0" applyNumberFormat="1" applyFont="1" applyBorder="1"/>
    <xf numFmtId="0" fontId="10" fillId="0" borderId="5" xfId="0" applyFont="1" applyBorder="1"/>
    <xf numFmtId="4" fontId="10" fillId="0" borderId="5" xfId="0" applyNumberFormat="1" applyFont="1" applyBorder="1"/>
    <xf numFmtId="3" fontId="10" fillId="0" borderId="3" xfId="0" applyNumberFormat="1" applyFont="1" applyBorder="1"/>
    <xf numFmtId="165" fontId="10" fillId="0" borderId="3" xfId="2" applyNumberFormat="1" applyFont="1" applyBorder="1"/>
    <xf numFmtId="0" fontId="10" fillId="0" borderId="8" xfId="0" applyFont="1" applyBorder="1"/>
    <xf numFmtId="0" fontId="10" fillId="0" borderId="11" xfId="0" applyFont="1" applyBorder="1"/>
    <xf numFmtId="0" fontId="10" fillId="0" borderId="12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3" fontId="9" fillId="0" borderId="10" xfId="0" applyNumberFormat="1" applyFont="1" applyBorder="1"/>
    <xf numFmtId="3" fontId="9" fillId="0" borderId="4" xfId="0" applyNumberFormat="1" applyFont="1" applyBorder="1"/>
    <xf numFmtId="3" fontId="9" fillId="0" borderId="1" xfId="0" applyNumberFormat="1" applyFont="1" applyBorder="1"/>
    <xf numFmtId="0" fontId="9" fillId="0" borderId="1" xfId="0" applyFont="1" applyBorder="1"/>
    <xf numFmtId="165" fontId="9" fillId="0" borderId="1" xfId="2" applyNumberFormat="1" applyFont="1" applyBorder="1"/>
    <xf numFmtId="166" fontId="1" fillId="0" borderId="0" xfId="0" applyNumberFormat="1" applyFont="1" applyAlignment="1">
      <alignment vertical="center"/>
    </xf>
    <xf numFmtId="3" fontId="10" fillId="0" borderId="1" xfId="2" applyNumberFormat="1" applyFont="1" applyBorder="1"/>
    <xf numFmtId="3" fontId="10" fillId="4" borderId="1" xfId="0" applyNumberFormat="1" applyFont="1" applyFill="1" applyBorder="1"/>
    <xf numFmtId="10" fontId="10" fillId="0" borderId="12" xfId="1" applyNumberFormat="1" applyFont="1" applyBorder="1"/>
    <xf numFmtId="165" fontId="7" fillId="0" borderId="0" xfId="0" applyNumberFormat="1" applyFont="1"/>
    <xf numFmtId="1" fontId="1" fillId="0" borderId="0" xfId="2" applyNumberFormat="1" applyFont="1"/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3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26">
    <dxf>
      <fill>
        <patternFill>
          <bgColor rgb="FF92D05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1" defaultTableStyle="TableStyleMedium2" defaultPivotStyle="PivotStyleLight16">
    <tableStyle name="Invisible" pivot="0" table="0" count="0" xr9:uid="{ACF194E1-5B40-41AE-ACEC-FF1DFF4424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idan Muzaki" id="{FFEA8EFF-1140-439E-BE62-B03A52F53EFB}" userId="55ac700cedda07b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dan Muzaki" refreshedDate="45785.939009606482" createdVersion="8" refreshedVersion="8" minRefreshableVersion="3" recordCount="202" xr:uid="{F8BA80E0-2EC4-4D4D-9973-52DE4F7AB82A}">
  <cacheSource type="worksheet">
    <worksheetSource ref="B2:J204" sheet="Process"/>
  </cacheSource>
  <cacheFields count="11">
    <cacheField name="Period" numFmtId="0">
      <sharedItems containsNonDate="0" containsDate="1" containsString="0" containsBlank="1" minDate="2024-10-01T00:00:00" maxDate="2025-04-02T00:00:00" count="8">
        <d v="2024-10-01T00:00:00"/>
        <d v="2024-11-01T00:00:00"/>
        <d v="2024-12-01T00:00:00"/>
        <d v="2025-01-01T00:00:00"/>
        <d v="2025-02-01T00:00:00"/>
        <d v="2025-03-01T00:00:00"/>
        <d v="2025-04-01T00:00:00"/>
        <m/>
      </sharedItems>
      <fieldGroup par="10"/>
    </cacheField>
    <cacheField name="Date" numFmtId="0">
      <sharedItems containsNonDate="0" containsDate="1" containsString="0" containsBlank="1" minDate="2024-10-16T00:00:00" maxDate="2025-04-10T00:00:00"/>
    </cacheField>
    <cacheField name="Nominal" numFmtId="165">
      <sharedItems containsString="0" containsBlank="1" containsNumber="1" minValue="-2988350.14643182" maxValue="2772359"/>
    </cacheField>
    <cacheField name="PV" numFmtId="165">
      <sharedItems containsSemiMixedTypes="0" containsString="0" containsNumber="1" minValue="-2958664.7670225166" maxValue="2744819.212243848"/>
    </cacheField>
    <cacheField name="Goal" numFmtId="0">
      <sharedItems containsBlank="1"/>
    </cacheField>
    <cacheField name="Desc" numFmtId="0">
      <sharedItems count="11">
        <s v="Dana Darurat"/>
        <s v="Balik Tegal"/>
        <s v="Wisuda (Fotografer, makeup, outfit, tiket bolak balik)"/>
        <s v="Upgrade outfit kerja"/>
        <s v="Self Reward (Upgrade HP / Liburan)"/>
        <s v="Mobil"/>
        <s v="Menikah"/>
        <s v="KPR Rumah"/>
        <s v="Dana Pensiun"/>
        <s v="Pindahan di Jogja"/>
        <e v="#N/A"/>
      </sharedItems>
    </cacheField>
    <cacheField name="Product" numFmtId="0">
      <sharedItems containsBlank="1" count="8">
        <s v="Rks. Pasar Uang"/>
        <s v="Rks. Campuran"/>
        <s v="Rks. Obligasi"/>
        <s v="Rks. Saham"/>
        <s v="Tabungan"/>
        <s v="Saham"/>
        <s v="Bitcoin"/>
        <m/>
      </sharedItems>
    </cacheField>
    <cacheField name="Platform" numFmtId="0">
      <sharedItems containsBlank="1"/>
    </cacheField>
    <cacheField name="Code" numFmtId="0">
      <sharedItems containsBlank="1" count="14">
        <s v="RDPU"/>
        <s v="RDCA"/>
        <s v="RDPT"/>
        <s v="RDSA"/>
        <s v="JAGO"/>
        <s v="NVDA"/>
        <s v="BTC"/>
        <s v="RDPC"/>
        <s v="AADI"/>
        <s v="SPY"/>
        <s v="CBDK"/>
        <s v="RATU"/>
        <s v="QQQ"/>
        <m/>
      </sharedItems>
    </cacheField>
    <cacheField name="Days (Period)" numFmtId="0" databaseField="0">
      <fieldGroup base="0">
        <rangePr groupBy="days" startDate="2024-10-01T00:00:00" endDate="2025-04-02T00:00:00"/>
        <groupItems count="368">
          <s v="&lt;01/10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4/2025"/>
        </groupItems>
      </fieldGroup>
    </cacheField>
    <cacheField name="Months (Period)" numFmtId="0" databaseField="0">
      <fieldGroup base="0">
        <rangePr groupBy="months" startDate="2024-10-01T00:00:00" endDate="2025-04-02T00:00:00"/>
        <groupItems count="14">
          <s v="&lt;01/10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dan Muzaki" refreshedDate="45785.939054282404" createdVersion="8" refreshedVersion="8" minRefreshableVersion="3" recordCount="202" xr:uid="{338E17BE-2D1A-4206-A45D-1215537BC05A}">
  <cacheSource type="worksheet">
    <worksheetSource ref="B2:K204" sheet="Process"/>
  </cacheSource>
  <cacheFields count="10">
    <cacheField name="Period" numFmtId="0">
      <sharedItems containsNonDate="0" containsDate="1" containsString="0" containsBlank="1" minDate="2024-10-01T00:00:00" maxDate="2025-04-02T00:00:00"/>
    </cacheField>
    <cacheField name="Date" numFmtId="0">
      <sharedItems containsNonDate="0" containsDate="1" containsString="0" containsBlank="1" minDate="2024-10-16T00:00:00" maxDate="2025-04-10T00:00:00"/>
    </cacheField>
    <cacheField name="Nominal" numFmtId="165">
      <sharedItems containsString="0" containsBlank="1" containsNumber="1" minValue="-2988350.14643182" maxValue="2772359"/>
    </cacheField>
    <cacheField name="PV" numFmtId="165">
      <sharedItems containsSemiMixedTypes="0" containsString="0" containsNumber="1" minValue="-2958664.7670225166" maxValue="2744819.212243848"/>
    </cacheField>
    <cacheField name="Goal" numFmtId="0">
      <sharedItems containsBlank="1"/>
    </cacheField>
    <cacheField name="Desc" numFmtId="0">
      <sharedItems/>
    </cacheField>
    <cacheField name="Product" numFmtId="0">
      <sharedItems containsBlank="1"/>
    </cacheField>
    <cacheField name="Platform" numFmtId="0">
      <sharedItems containsBlank="1" count="5">
        <s v="Bibit"/>
        <s v="Jago"/>
        <s v="Pluang"/>
        <s v="Stockbit"/>
        <m/>
      </sharedItems>
    </cacheField>
    <cacheField name="Code" numFmtId="0">
      <sharedItems containsBlank="1"/>
    </cacheField>
    <cacheField name="Keterang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d v="2024-10-16T00:00:00"/>
    <n v="880000"/>
    <n v="859737.72931528068"/>
    <s v="B1"/>
    <x v="0"/>
    <x v="0"/>
    <s v="Bibit"/>
    <x v="0"/>
  </r>
  <r>
    <x v="0"/>
    <d v="2024-10-16T00:00:00"/>
    <n v="400000"/>
    <n v="390789.87696149119"/>
    <s v="A2"/>
    <x v="1"/>
    <x v="1"/>
    <s v="Bibit"/>
    <x v="1"/>
  </r>
  <r>
    <x v="0"/>
    <d v="2024-10-16T00:00:00"/>
    <n v="505000"/>
    <n v="493372.21966388263"/>
    <s v="A3"/>
    <x v="2"/>
    <x v="1"/>
    <s v="Bibit"/>
    <x v="1"/>
  </r>
  <r>
    <x v="0"/>
    <d v="2024-10-16T00:00:00"/>
    <n v="405000"/>
    <n v="395674.75042350986"/>
    <s v="A4"/>
    <x v="3"/>
    <x v="2"/>
    <s v="Bibit"/>
    <x v="2"/>
  </r>
  <r>
    <x v="0"/>
    <d v="2024-10-16T00:00:00"/>
    <n v="450000"/>
    <n v="439638.61158167763"/>
    <s v="A5"/>
    <x v="4"/>
    <x v="1"/>
    <s v="Bibit"/>
    <x v="1"/>
  </r>
  <r>
    <x v="0"/>
    <d v="2024-10-16T00:00:00"/>
    <n v="760000"/>
    <n v="742500.76622683334"/>
    <s v="B2"/>
    <x v="5"/>
    <x v="3"/>
    <s v="Bibit"/>
    <x v="3"/>
  </r>
  <r>
    <x v="0"/>
    <d v="2024-10-16T00:00:00"/>
    <n v="380000"/>
    <n v="371250.38311341667"/>
    <s v="C1"/>
    <x v="6"/>
    <x v="3"/>
    <s v="Bibit"/>
    <x v="3"/>
  </r>
  <r>
    <x v="0"/>
    <d v="2024-10-16T00:00:00"/>
    <n v="630000"/>
    <n v="615494.05621434865"/>
    <s v="C2"/>
    <x v="7"/>
    <x v="3"/>
    <s v="Bibit"/>
    <x v="3"/>
  </r>
  <r>
    <x v="0"/>
    <d v="2024-10-16T00:00:00"/>
    <n v="640000"/>
    <n v="625263.80313838599"/>
    <s v="D1"/>
    <x v="8"/>
    <x v="3"/>
    <s v="Bibit"/>
    <x v="3"/>
  </r>
  <r>
    <x v="0"/>
    <d v="2024-10-16T00:00:00"/>
    <n v="750000"/>
    <n v="732731.01930279599"/>
    <s v="A1"/>
    <x v="9"/>
    <x v="4"/>
    <s v="Jago"/>
    <x v="4"/>
  </r>
  <r>
    <x v="0"/>
    <d v="2024-10-30T00:00:00"/>
    <n v="-750000"/>
    <n v="-732731.01930279599"/>
    <s v="A1"/>
    <x v="9"/>
    <x v="4"/>
    <s v="Jago"/>
    <x v="4"/>
  </r>
  <r>
    <x v="1"/>
    <d v="2024-11-02T00:00:00"/>
    <n v="880000"/>
    <n v="862603.52174633183"/>
    <s v="B1"/>
    <x v="0"/>
    <x v="0"/>
    <s v="Bibit"/>
    <x v="0"/>
  </r>
  <r>
    <x v="1"/>
    <d v="2024-11-02T00:00:00"/>
    <n v="505000"/>
    <n v="495016.79372942908"/>
    <s v="A3"/>
    <x v="2"/>
    <x v="1"/>
    <s v="Bibit"/>
    <x v="1"/>
  </r>
  <r>
    <x v="1"/>
    <d v="2024-11-02T00:00:00"/>
    <n v="405000"/>
    <n v="396993.66625825502"/>
    <s v="A4"/>
    <x v="3"/>
    <x v="2"/>
    <s v="Bibit"/>
    <x v="2"/>
  </r>
  <r>
    <x v="1"/>
    <d v="2024-11-02T00:00:00"/>
    <n v="450000"/>
    <n v="441104.07362028334"/>
    <s v="A5"/>
    <x v="4"/>
    <x v="1"/>
    <s v="Bibit"/>
    <x v="1"/>
  </r>
  <r>
    <x v="1"/>
    <d v="2024-11-15T00:00:00"/>
    <n v="474206.78426858247"/>
    <n v="464832.32062054804"/>
    <s v="C1"/>
    <x v="6"/>
    <x v="5"/>
    <s v="Pluang"/>
    <x v="5"/>
  </r>
  <r>
    <x v="1"/>
    <d v="2024-11-15T00:00:00"/>
    <n v="785793.21573141753"/>
    <n v="770259.08551624534"/>
    <s v="C2"/>
    <x v="7"/>
    <x v="5"/>
    <s v="Pluang"/>
    <x v="5"/>
  </r>
  <r>
    <x v="1"/>
    <d v="2024-11-15T00:00:00"/>
    <n v="5000"/>
    <n v="4901.1563735587042"/>
    <s v="D1"/>
    <x v="8"/>
    <x v="6"/>
    <s v="Pluang"/>
    <x v="6"/>
  </r>
  <r>
    <x v="1"/>
    <d v="2024-11-27T00:00:00"/>
    <n v="-380000"/>
    <n v="-381267"/>
    <s v="C1"/>
    <x v="6"/>
    <x v="3"/>
    <s v="Bibit"/>
    <x v="3"/>
  </r>
  <r>
    <x v="1"/>
    <d v="2024-11-27T00:00:00"/>
    <n v="212044.19889502763"/>
    <n v="212751"/>
    <s v="B2"/>
    <x v="5"/>
    <x v="3"/>
    <s v="Bibit"/>
    <x v="3"/>
  </r>
  <r>
    <x v="1"/>
    <d v="2024-11-27T00:00:00"/>
    <n v="167955.80110497237"/>
    <n v="168516"/>
    <s v="D1"/>
    <x v="8"/>
    <x v="3"/>
    <s v="Bibit"/>
    <x v="3"/>
  </r>
  <r>
    <x v="1"/>
    <d v="2024-11-27T00:00:00"/>
    <n v="-630000"/>
    <n v="-632100"/>
    <s v="C2"/>
    <x v="7"/>
    <x v="3"/>
    <s v="Bibit"/>
    <x v="3"/>
  </r>
  <r>
    <x v="1"/>
    <d v="2024-11-27T00:00:00"/>
    <n v="630000"/>
    <n v="632100"/>
    <s v="D1"/>
    <x v="8"/>
    <x v="3"/>
    <s v="Bibit"/>
    <x v="3"/>
  </r>
  <r>
    <x v="2"/>
    <d v="2024-11-28T00:00:00"/>
    <n v="450000"/>
    <n v="442574.42053235101"/>
    <s v="A5"/>
    <x v="4"/>
    <x v="1"/>
    <s v="Bibit"/>
    <x v="7"/>
  </r>
  <r>
    <x v="2"/>
    <d v="2024-11-28T00:00:00"/>
    <n v="405000"/>
    <n v="398316.97847911587"/>
    <s v="A4"/>
    <x v="3"/>
    <x v="2"/>
    <s v="Bibit"/>
    <x v="2"/>
  </r>
  <r>
    <x v="2"/>
    <d v="2024-11-28T00:00:00"/>
    <n v="1000000"/>
    <n v="983498.71229411336"/>
    <s v="A3"/>
    <x v="2"/>
    <x v="1"/>
    <s v="Bibit"/>
    <x v="7"/>
  </r>
  <r>
    <x v="2"/>
    <d v="2024-11-28T00:00:00"/>
    <n v="880000"/>
    <n v="865478.86681881978"/>
    <s v="B1"/>
    <x v="0"/>
    <x v="0"/>
    <s v="Bibit"/>
    <x v="0"/>
  </r>
  <r>
    <x v="2"/>
    <d v="2024-11-28T00:00:00"/>
    <n v="555000"/>
    <n v="545841.78532323288"/>
    <s v="B2"/>
    <x v="5"/>
    <x v="5"/>
    <s v="Stockbit"/>
    <x v="8"/>
  </r>
  <r>
    <x v="2"/>
    <d v="2024-11-28T00:00:00"/>
    <n v="252728.12932135037"/>
    <n v="248557.78974804824"/>
    <s v="C1"/>
    <x v="6"/>
    <x v="5"/>
    <s v="Pluang"/>
    <x v="5"/>
  </r>
  <r>
    <x v="2"/>
    <d v="2024-11-28T00:00:00"/>
    <n v="418787.87067864969"/>
    <n v="411877.33153684565"/>
    <s v="C2"/>
    <x v="7"/>
    <x v="5"/>
    <s v="Pluang"/>
    <x v="5"/>
  </r>
  <r>
    <x v="2"/>
    <d v="2024-11-28T00:00:00"/>
    <n v="570000"/>
    <n v="560594.26600764459"/>
    <s v="D1"/>
    <x v="8"/>
    <x v="5"/>
    <s v="Pluang"/>
    <x v="9"/>
  </r>
  <r>
    <x v="2"/>
    <d v="2024-12-03T00:00:00"/>
    <n v="-402671"/>
    <n v="-396026.40997818293"/>
    <s v="A2"/>
    <x v="1"/>
    <x v="1"/>
    <s v="Bibit"/>
    <x v="7"/>
  </r>
  <r>
    <x v="3"/>
    <d v="2025-01-02T00:00:00"/>
    <n v="1000000"/>
    <n v="986777.04133509379"/>
    <s v="A3"/>
    <x v="2"/>
    <x v="1"/>
    <s v="Bibit"/>
    <x v="7"/>
  </r>
  <r>
    <x v="3"/>
    <d v="2025-01-02T00:00:00"/>
    <n v="880000"/>
    <n v="868363.79637488257"/>
    <s v="B1"/>
    <x v="0"/>
    <x v="0"/>
    <s v="Bibit"/>
    <x v="0"/>
  </r>
  <r>
    <x v="3"/>
    <d v="2025-01-12T00:00:00"/>
    <n v="405000"/>
    <n v="399644.70174071298"/>
    <s v="A4"/>
    <x v="3"/>
    <x v="2"/>
    <s v="Bibit"/>
    <x v="2"/>
  </r>
  <r>
    <x v="3"/>
    <d v="2025-01-12T00:00:00"/>
    <n v="450000"/>
    <n v="444049.66860079224"/>
    <s v="A5"/>
    <x v="4"/>
    <x v="1"/>
    <s v="Bibit"/>
    <x v="7"/>
  </r>
  <r>
    <x v="2"/>
    <d v="2025-01-12T00:00:00"/>
    <n v="-555000"/>
    <n v="-545841.78532323288"/>
    <s v="B2"/>
    <x v="5"/>
    <x v="5"/>
    <s v="Stockbit"/>
    <x v="8"/>
  </r>
  <r>
    <x v="3"/>
    <d v="2025-01-12T00:00:00"/>
    <n v="812000"/>
    <n v="801262.9575640962"/>
    <s v="B2"/>
    <x v="5"/>
    <x v="5"/>
    <s v="Stockbit"/>
    <x v="10"/>
  </r>
  <r>
    <x v="3"/>
    <d v="2025-01-12T00:00:00"/>
    <n v="345000"/>
    <n v="340438.07926060737"/>
    <s v="B2"/>
    <x v="5"/>
    <x v="5"/>
    <s v="Stockbit"/>
    <x v="11"/>
  </r>
  <r>
    <x v="3"/>
    <d v="2025-01-12T00:00:00"/>
    <n v="824657"/>
    <n v="813752.59457627451"/>
    <s v="D1"/>
    <x v="8"/>
    <x v="5"/>
    <s v="Pluang"/>
    <x v="9"/>
  </r>
  <r>
    <x v="3"/>
    <d v="2025-01-12T00:00:00"/>
    <n v="288880.78743328969"/>
    <n v="285060.92872197373"/>
    <s v="C1"/>
    <x v="6"/>
    <x v="5"/>
    <s v="Pluang"/>
    <x v="5"/>
  </r>
  <r>
    <x v="3"/>
    <d v="2025-01-12T00:00:00"/>
    <n v="478711.21256671031"/>
    <n v="472381.2339905136"/>
    <s v="C2"/>
    <x v="7"/>
    <x v="5"/>
    <s v="Pluang"/>
    <x v="5"/>
  </r>
  <r>
    <x v="3"/>
    <d v="2025-01-14T00:00:00"/>
    <n v="320851"/>
    <n v="316608.40048940619"/>
    <s v="B2"/>
    <x v="5"/>
    <x v="5"/>
    <s v="Pluang"/>
    <x v="12"/>
  </r>
  <r>
    <x v="4"/>
    <d v="2025-02-04T00:00:00"/>
    <n v="405000"/>
    <n v="400976.85074651532"/>
    <s v="A4"/>
    <x v="3"/>
    <x v="2"/>
    <s v="Bibit"/>
    <x v="2"/>
  </r>
  <r>
    <x v="4"/>
    <d v="2025-02-04T00:00:00"/>
    <n v="450000"/>
    <n v="445529.83416279481"/>
    <s v="A5"/>
    <x v="4"/>
    <x v="1"/>
    <s v="Bibit"/>
    <x v="7"/>
  </r>
  <r>
    <x v="4"/>
    <d v="2025-02-04T00:00:00"/>
    <n v="880000"/>
    <n v="871258.34236279875"/>
    <s v="B1"/>
    <x v="0"/>
    <x v="0"/>
    <s v="Bibit"/>
    <x v="0"/>
  </r>
  <r>
    <x v="4"/>
    <d v="2025-02-04T00:00:00"/>
    <n v="201636.81218491902"/>
    <n v="199633.81220858128"/>
    <s v="B2"/>
    <x v="5"/>
    <x v="5"/>
    <s v="Pluang"/>
    <x v="12"/>
  </r>
  <r>
    <x v="4"/>
    <d v="2025-02-04T00:00:00"/>
    <n v="102227.01919982837"/>
    <n v="101211.52646901416"/>
    <s v="C1"/>
    <x v="6"/>
    <x v="5"/>
    <s v="Pluang"/>
    <x v="5"/>
  </r>
  <r>
    <x v="4"/>
    <d v="2025-02-04T00:00:00"/>
    <n v="169402.82098037112"/>
    <n v="167720.02386243193"/>
    <s v="C2"/>
    <x v="7"/>
    <x v="5"/>
    <s v="Pluang"/>
    <x v="5"/>
  </r>
  <r>
    <x v="4"/>
    <d v="2025-02-04T00:00:00"/>
    <n v="291733.34763488144"/>
    <n v="288835.3555367238"/>
    <s v="D1"/>
    <x v="8"/>
    <x v="5"/>
    <s v="Pluang"/>
    <x v="9"/>
  </r>
  <r>
    <x v="4"/>
    <d v="2025-02-04T00:00:00"/>
    <n v="594475"/>
    <n v="588569.66258650541"/>
    <s v="B2"/>
    <x v="5"/>
    <x v="5"/>
    <s v="Stockbit"/>
    <x v="10"/>
  </r>
  <r>
    <x v="4"/>
    <d v="2025-02-04T00:00:00"/>
    <n v="1932293"/>
    <n v="1913098.1774309541"/>
    <s v="B2"/>
    <x v="5"/>
    <x v="5"/>
    <s v="Stockbit"/>
    <x v="11"/>
  </r>
  <r>
    <x v="4"/>
    <d v="2025-02-04T00:00:00"/>
    <n v="-2988350.14643182"/>
    <n v="-2958664.7670225166"/>
    <s v="A3"/>
    <x v="2"/>
    <x v="1"/>
    <s v="Bibit"/>
    <x v="7"/>
  </r>
  <r>
    <x v="4"/>
    <d v="2025-02-10T00:00:00"/>
    <n v="-1406475"/>
    <n v="-1392503.4966758152"/>
    <s v="B2"/>
    <x v="5"/>
    <x v="5"/>
    <s v="Stockbit"/>
    <x v="10"/>
  </r>
  <r>
    <x v="4"/>
    <d v="2025-02-10T00:00:00"/>
    <n v="-2277293"/>
    <n v="-2254671.0502890968"/>
    <s v="B2"/>
    <x v="5"/>
    <x v="5"/>
    <s v="Stockbit"/>
    <x v="11"/>
  </r>
  <r>
    <x v="4"/>
    <d v="2025-02-10T00:00:00"/>
    <n v="1447614"/>
    <n v="1433233.8341149779"/>
    <s v="D1"/>
    <x v="8"/>
    <x v="5"/>
    <s v="Pluang"/>
    <x v="9"/>
  </r>
  <r>
    <x v="4"/>
    <d v="2025-02-10T00:00:00"/>
    <n v="2772359"/>
    <n v="2744819.212243848"/>
    <s v="B2"/>
    <x v="5"/>
    <x v="5"/>
    <s v="Pluang"/>
    <x v="12"/>
  </r>
  <r>
    <x v="4"/>
    <d v="2025-02-10T00:00:00"/>
    <n v="-1425879.803138386"/>
    <n v="-1411715.5382851637"/>
    <s v="D1"/>
    <x v="8"/>
    <x v="3"/>
    <s v="Bibit"/>
    <x v="3"/>
  </r>
  <r>
    <x v="4"/>
    <d v="2025-02-10T00:00:00"/>
    <n v="-955251.76622683334"/>
    <n v="-945762.57997946197"/>
    <s v="B2"/>
    <x v="5"/>
    <x v="3"/>
    <s v="Bibit"/>
    <x v="3"/>
  </r>
  <r>
    <x v="5"/>
    <d v="2025-03-01T00:00:00"/>
    <n v="-2025000"/>
    <n v="-2011567.201245019"/>
    <s v="A4"/>
    <x v="3"/>
    <x v="2"/>
    <s v="Bibit"/>
    <x v="2"/>
  </r>
  <r>
    <x v="5"/>
    <d v="2025-03-01T00:00:00"/>
    <n v="880000"/>
    <n v="874162.53683734161"/>
    <s v="B1"/>
    <x v="0"/>
    <x v="0"/>
    <s v="Bibit"/>
    <x v="0"/>
  </r>
  <r>
    <x v="5"/>
    <d v="2025-03-01T00:00:00"/>
    <n v="450000"/>
    <n v="447014.93361000426"/>
    <s v="A5"/>
    <x v="4"/>
    <x v="1"/>
    <s v="Bibit"/>
    <x v="7"/>
  </r>
  <r>
    <x v="5"/>
    <d v="2025-03-31T00:00:00"/>
    <n v="308000"/>
    <n v="305956.88789306954"/>
    <s v="B2"/>
    <x v="5"/>
    <x v="5"/>
    <s v="Pluang"/>
    <x v="12"/>
  </r>
  <r>
    <x v="5"/>
    <d v="2025-03-31T00:00:00"/>
    <n v="446000"/>
    <n v="443041.46753347083"/>
    <s v="D1"/>
    <x v="8"/>
    <x v="3"/>
    <s v="Bibit"/>
    <x v="3"/>
  </r>
  <r>
    <x v="5"/>
    <d v="2025-03-31T00:00:00"/>
    <n v="156000"/>
    <n v="154965.17698480145"/>
    <s v="C1"/>
    <x v="6"/>
    <x v="5"/>
    <s v="Pluang"/>
    <x v="5"/>
  </r>
  <r>
    <x v="5"/>
    <d v="2025-03-31T00:00:00"/>
    <n v="259000"/>
    <n v="257281.92845553576"/>
    <s v="C2"/>
    <x v="7"/>
    <x v="5"/>
    <s v="Pluang"/>
    <x v="5"/>
  </r>
  <r>
    <x v="6"/>
    <d v="2025-04-09T00:00:00"/>
    <n v="600000"/>
    <n v="598006.64451827237"/>
    <s v="A5"/>
    <x v="4"/>
    <x v="1"/>
    <s v="Bibit"/>
    <x v="7"/>
  </r>
  <r>
    <x v="6"/>
    <d v="2025-04-09T00:00:00"/>
    <n v="880000"/>
    <n v="877076.41196013289"/>
    <s v="B1"/>
    <x v="0"/>
    <x v="0"/>
    <s v="Bibit"/>
    <x v="0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  <r>
    <x v="7"/>
    <m/>
    <m/>
    <n v="0"/>
    <m/>
    <x v="10"/>
    <x v="7"/>
    <m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24-10-01T00:00:00"/>
    <d v="2024-10-16T00:00:00"/>
    <n v="880000"/>
    <n v="859737.72931528068"/>
    <s v="B1"/>
    <s v="Dana Darurat"/>
    <s v="Rks. Pasar Uang"/>
    <x v="0"/>
    <s v="RDPU"/>
    <m/>
  </r>
  <r>
    <d v="2024-10-01T00:00:00"/>
    <d v="2024-10-16T00:00:00"/>
    <n v="400000"/>
    <n v="390789.87696149119"/>
    <s v="A2"/>
    <s v="Balik Tegal"/>
    <s v="Rks. Campuran"/>
    <x v="0"/>
    <s v="RDCA"/>
    <m/>
  </r>
  <r>
    <d v="2024-10-01T00:00:00"/>
    <d v="2024-10-16T00:00:00"/>
    <n v="505000"/>
    <n v="493372.21966388263"/>
    <s v="A3"/>
    <s v="Wisuda (Fotografer, makeup, outfit, tiket bolak balik)"/>
    <s v="Rks. Campuran"/>
    <x v="0"/>
    <s v="RDCA"/>
    <m/>
  </r>
  <r>
    <d v="2024-10-01T00:00:00"/>
    <d v="2024-10-16T00:00:00"/>
    <n v="405000"/>
    <n v="395674.75042350986"/>
    <s v="A4"/>
    <s v="Upgrade outfit kerja"/>
    <s v="Rks. Obligasi"/>
    <x v="0"/>
    <s v="RDPT"/>
    <m/>
  </r>
  <r>
    <d v="2024-10-01T00:00:00"/>
    <d v="2024-10-16T00:00:00"/>
    <n v="450000"/>
    <n v="439638.61158167763"/>
    <s v="A5"/>
    <s v="Self Reward (Upgrade HP / Liburan)"/>
    <s v="Rks. Campuran"/>
    <x v="0"/>
    <s v="RDCA"/>
    <m/>
  </r>
  <r>
    <d v="2024-10-01T00:00:00"/>
    <d v="2024-10-16T00:00:00"/>
    <n v="760000"/>
    <n v="742500.76622683334"/>
    <s v="B2"/>
    <s v="Mobil"/>
    <s v="Rks. Saham"/>
    <x v="0"/>
    <s v="RDSA"/>
    <m/>
  </r>
  <r>
    <d v="2024-10-01T00:00:00"/>
    <d v="2024-10-16T00:00:00"/>
    <n v="380000"/>
    <n v="371250.38311341667"/>
    <s v="C1"/>
    <s v="Menikah"/>
    <s v="Rks. Saham"/>
    <x v="0"/>
    <s v="RDSA"/>
    <m/>
  </r>
  <r>
    <d v="2024-10-01T00:00:00"/>
    <d v="2024-10-16T00:00:00"/>
    <n v="630000"/>
    <n v="615494.05621434865"/>
    <s v="C2"/>
    <s v="KPR Rumah"/>
    <s v="Rks. Saham"/>
    <x v="0"/>
    <s v="RDSA"/>
    <m/>
  </r>
  <r>
    <d v="2024-10-01T00:00:00"/>
    <d v="2024-10-16T00:00:00"/>
    <n v="640000"/>
    <n v="625263.80313838599"/>
    <s v="D1"/>
    <s v="Dana Pensiun"/>
    <s v="Rks. Saham"/>
    <x v="0"/>
    <s v="RDSA"/>
    <m/>
  </r>
  <r>
    <d v="2024-10-01T00:00:00"/>
    <d v="2024-10-16T00:00:00"/>
    <n v="750000"/>
    <n v="732731.01930279599"/>
    <s v="A1"/>
    <s v="Pindahan di Jogja"/>
    <s v="Tabungan"/>
    <x v="1"/>
    <s v="JAGO"/>
    <m/>
  </r>
  <r>
    <d v="2024-10-01T00:00:00"/>
    <d v="2024-10-30T00:00:00"/>
    <n v="-750000"/>
    <n v="-732731.01930279599"/>
    <s v="A1"/>
    <s v="Pindahan di Jogja"/>
    <s v="Tabungan"/>
    <x v="1"/>
    <s v="JAGO"/>
    <m/>
  </r>
  <r>
    <d v="2024-11-01T00:00:00"/>
    <d v="2024-11-02T00:00:00"/>
    <n v="880000"/>
    <n v="862603.52174633183"/>
    <s v="B1"/>
    <s v="Dana Darurat"/>
    <s v="Rks. Pasar Uang"/>
    <x v="0"/>
    <s v="RDPU"/>
    <m/>
  </r>
  <r>
    <d v="2024-11-01T00:00:00"/>
    <d v="2024-11-02T00:00:00"/>
    <n v="505000"/>
    <n v="495016.79372942908"/>
    <s v="A3"/>
    <s v="Wisuda (Fotografer, makeup, outfit, tiket bolak balik)"/>
    <s v="Rks. Campuran"/>
    <x v="0"/>
    <s v="RDCA"/>
    <m/>
  </r>
  <r>
    <d v="2024-11-01T00:00:00"/>
    <d v="2024-11-02T00:00:00"/>
    <n v="405000"/>
    <n v="396993.66625825502"/>
    <s v="A4"/>
    <s v="Upgrade outfit kerja"/>
    <s v="Rks. Obligasi"/>
    <x v="0"/>
    <s v="RDPT"/>
    <m/>
  </r>
  <r>
    <d v="2024-11-01T00:00:00"/>
    <d v="2024-11-02T00:00:00"/>
    <n v="450000"/>
    <n v="441104.07362028334"/>
    <s v="A5"/>
    <s v="Self Reward (Upgrade HP / Liburan)"/>
    <s v="Rks. Campuran"/>
    <x v="0"/>
    <s v="RDCA"/>
    <m/>
  </r>
  <r>
    <d v="2024-11-01T00:00:00"/>
    <d v="2024-11-15T00:00:00"/>
    <n v="474206.78426858247"/>
    <n v="464832.32062054804"/>
    <s v="C1"/>
    <s v="Menikah"/>
    <s v="Saham"/>
    <x v="2"/>
    <s v="NVDA"/>
    <m/>
  </r>
  <r>
    <d v="2024-11-01T00:00:00"/>
    <d v="2024-11-15T00:00:00"/>
    <n v="785793.21573141753"/>
    <n v="770259.08551624534"/>
    <s v="C2"/>
    <s v="KPR Rumah"/>
    <s v="Saham"/>
    <x v="2"/>
    <s v="NVDA"/>
    <m/>
  </r>
  <r>
    <d v="2024-11-01T00:00:00"/>
    <d v="2024-11-15T00:00:00"/>
    <n v="5000"/>
    <n v="4901.1563735587042"/>
    <s v="D1"/>
    <s v="Dana Pensiun"/>
    <s v="Bitcoin"/>
    <x v="2"/>
    <s v="BTC"/>
    <m/>
  </r>
  <r>
    <d v="2024-11-01T00:00:00"/>
    <d v="2024-11-27T00:00:00"/>
    <n v="-380000"/>
    <n v="-381267"/>
    <s v="C1"/>
    <s v="Menikah"/>
    <s v="Rks. Saham"/>
    <x v="0"/>
    <s v="RDSA"/>
    <s v="Switch to B2, D1"/>
  </r>
  <r>
    <d v="2024-11-01T00:00:00"/>
    <d v="2024-11-27T00:00:00"/>
    <n v="212044.19889502763"/>
    <n v="212751"/>
    <s v="B2"/>
    <s v="Mobil"/>
    <s v="Rks. Saham"/>
    <x v="0"/>
    <s v="RDSA"/>
    <s v="Switch from C1"/>
  </r>
  <r>
    <d v="2024-11-01T00:00:00"/>
    <d v="2024-11-27T00:00:00"/>
    <n v="167955.80110497237"/>
    <n v="168516"/>
    <s v="D1"/>
    <s v="Dana Pensiun"/>
    <s v="Rks. Saham"/>
    <x v="0"/>
    <s v="RDSA"/>
    <s v="Switch from C1"/>
  </r>
  <r>
    <d v="2024-11-01T00:00:00"/>
    <d v="2024-11-27T00:00:00"/>
    <n v="-630000"/>
    <n v="-632100"/>
    <s v="C2"/>
    <s v="KPR Rumah"/>
    <s v="Rks. Saham"/>
    <x v="0"/>
    <s v="RDSA"/>
    <s v="Switch to D1"/>
  </r>
  <r>
    <d v="2024-11-01T00:00:00"/>
    <d v="2024-11-27T00:00:00"/>
    <n v="630000"/>
    <n v="632100"/>
    <s v="D1"/>
    <s v="Dana Pensiun"/>
    <s v="Rks. Saham"/>
    <x v="0"/>
    <s v="RDSA"/>
    <s v="Switch from C2"/>
  </r>
  <r>
    <d v="2024-12-01T00:00:00"/>
    <d v="2024-11-28T00:00:00"/>
    <n v="450000"/>
    <n v="442574.42053235101"/>
    <s v="A5"/>
    <s v="Self Reward (Upgrade HP / Liburan)"/>
    <s v="Rks. Campuran"/>
    <x v="0"/>
    <s v="RDPC"/>
    <m/>
  </r>
  <r>
    <d v="2024-12-01T00:00:00"/>
    <d v="2024-11-28T00:00:00"/>
    <n v="405000"/>
    <n v="398316.97847911587"/>
    <s v="A4"/>
    <s v="Upgrade outfit kerja"/>
    <s v="Rks. Obligasi"/>
    <x v="0"/>
    <s v="RDPT"/>
    <m/>
  </r>
  <r>
    <d v="2024-12-01T00:00:00"/>
    <d v="2024-11-28T00:00:00"/>
    <n v="1000000"/>
    <n v="983498.71229411336"/>
    <s v="A3"/>
    <s v="Wisuda (Fotografer, makeup, outfit, tiket bolak balik)"/>
    <s v="Rks. Campuran"/>
    <x v="0"/>
    <s v="RDPC"/>
    <m/>
  </r>
  <r>
    <d v="2024-12-01T00:00:00"/>
    <d v="2024-11-28T00:00:00"/>
    <n v="880000"/>
    <n v="865478.86681881978"/>
    <s v="B1"/>
    <s v="Dana Darurat"/>
    <s v="Rks. Pasar Uang"/>
    <x v="0"/>
    <s v="RDPU"/>
    <m/>
  </r>
  <r>
    <d v="2024-12-01T00:00:00"/>
    <d v="2024-11-28T00:00:00"/>
    <n v="555000"/>
    <n v="545841.78532323288"/>
    <s v="B2"/>
    <s v="Mobil"/>
    <s v="Saham"/>
    <x v="3"/>
    <s v="AADI"/>
    <m/>
  </r>
  <r>
    <d v="2024-12-01T00:00:00"/>
    <d v="2024-11-28T00:00:00"/>
    <n v="252728.12932135037"/>
    <n v="248557.78974804824"/>
    <s v="C1"/>
    <s v="Menikah"/>
    <s v="Saham"/>
    <x v="2"/>
    <s v="NVDA"/>
    <m/>
  </r>
  <r>
    <d v="2024-12-01T00:00:00"/>
    <d v="2024-11-28T00:00:00"/>
    <n v="418787.87067864969"/>
    <n v="411877.33153684565"/>
    <s v="C2"/>
    <s v="KPR Rumah"/>
    <s v="Saham"/>
    <x v="2"/>
    <s v="NVDA"/>
    <m/>
  </r>
  <r>
    <d v="2024-12-01T00:00:00"/>
    <d v="2024-11-28T00:00:00"/>
    <n v="570000"/>
    <n v="560594.26600764459"/>
    <s v="D1"/>
    <s v="Dana Pensiun"/>
    <s v="Saham"/>
    <x v="2"/>
    <s v="SPY"/>
    <m/>
  </r>
  <r>
    <d v="2024-12-01T00:00:00"/>
    <d v="2024-12-03T00:00:00"/>
    <n v="-402671"/>
    <n v="-396026.40997818293"/>
    <s v="A2"/>
    <s v="Balik Tegal"/>
    <s v="Rks. Campuran"/>
    <x v="0"/>
    <s v="RDPC"/>
    <s v="Withdrawn"/>
  </r>
  <r>
    <d v="2025-01-01T00:00:00"/>
    <d v="2025-01-02T00:00:00"/>
    <n v="1000000"/>
    <n v="986777.04133509379"/>
    <s v="A3"/>
    <s v="Wisuda (Fotografer, makeup, outfit, tiket bolak balik)"/>
    <s v="Rks. Campuran"/>
    <x v="0"/>
    <s v="RDPC"/>
    <m/>
  </r>
  <r>
    <d v="2025-01-01T00:00:00"/>
    <d v="2025-01-02T00:00:00"/>
    <n v="880000"/>
    <n v="868363.79637488257"/>
    <s v="B1"/>
    <s v="Dana Darurat"/>
    <s v="Rks. Pasar Uang"/>
    <x v="0"/>
    <s v="RDPU"/>
    <m/>
  </r>
  <r>
    <d v="2025-01-01T00:00:00"/>
    <d v="2025-01-12T00:00:00"/>
    <n v="405000"/>
    <n v="399644.70174071298"/>
    <s v="A4"/>
    <s v="Upgrade outfit kerja"/>
    <s v="Rks. Obligasi"/>
    <x v="0"/>
    <s v="RDPT"/>
    <m/>
  </r>
  <r>
    <d v="2025-01-01T00:00:00"/>
    <d v="2025-01-12T00:00:00"/>
    <n v="450000"/>
    <n v="444049.66860079224"/>
    <s v="A5"/>
    <s v="Self Reward (Upgrade HP / Liburan)"/>
    <s v="Rks. Campuran"/>
    <x v="0"/>
    <s v="RDPC"/>
    <m/>
  </r>
  <r>
    <d v="2024-12-01T00:00:00"/>
    <d v="2025-01-12T00:00:00"/>
    <n v="-555000"/>
    <n v="-545841.78532323288"/>
    <s v="B2"/>
    <s v="Mobil"/>
    <s v="Saham"/>
    <x v="3"/>
    <s v="AADI"/>
    <s v="Withdrawn with profit"/>
  </r>
  <r>
    <d v="2025-01-01T00:00:00"/>
    <d v="2025-01-12T00:00:00"/>
    <n v="812000"/>
    <n v="801262.9575640962"/>
    <s v="B2"/>
    <s v="Mobil"/>
    <s v="Saham"/>
    <x v="3"/>
    <s v="CBDK"/>
    <m/>
  </r>
  <r>
    <d v="2025-01-01T00:00:00"/>
    <d v="2025-01-12T00:00:00"/>
    <n v="345000"/>
    <n v="340438.07926060737"/>
    <s v="B2"/>
    <s v="Mobil"/>
    <s v="Saham"/>
    <x v="3"/>
    <s v="RATU"/>
    <m/>
  </r>
  <r>
    <d v="2025-01-01T00:00:00"/>
    <d v="2025-01-12T00:00:00"/>
    <n v="824657"/>
    <n v="813752.59457627451"/>
    <s v="D1"/>
    <s v="Dana Pensiun"/>
    <s v="Saham"/>
    <x v="2"/>
    <s v="SPY"/>
    <m/>
  </r>
  <r>
    <d v="2025-01-01T00:00:00"/>
    <d v="2025-01-12T00:00:00"/>
    <n v="288880.78743328969"/>
    <n v="285060.92872197373"/>
    <s v="C1"/>
    <s v="Menikah"/>
    <s v="Saham"/>
    <x v="2"/>
    <s v="NVDA"/>
    <m/>
  </r>
  <r>
    <d v="2025-01-01T00:00:00"/>
    <d v="2025-01-12T00:00:00"/>
    <n v="478711.21256671031"/>
    <n v="472381.2339905136"/>
    <s v="C2"/>
    <s v="KPR Rumah"/>
    <s v="Saham"/>
    <x v="2"/>
    <s v="NVDA"/>
    <m/>
  </r>
  <r>
    <d v="2025-01-01T00:00:00"/>
    <d v="2025-01-14T00:00:00"/>
    <n v="320851"/>
    <n v="316608.40048940619"/>
    <s v="B2"/>
    <s v="Mobil"/>
    <s v="Saham"/>
    <x v="2"/>
    <s v="QQQ"/>
    <m/>
  </r>
  <r>
    <d v="2025-02-01T00:00:00"/>
    <d v="2025-02-04T00:00:00"/>
    <n v="405000"/>
    <n v="400976.85074651532"/>
    <s v="A4"/>
    <s v="Upgrade outfit kerja"/>
    <s v="Rks. Obligasi"/>
    <x v="0"/>
    <s v="RDPT"/>
    <m/>
  </r>
  <r>
    <d v="2025-02-01T00:00:00"/>
    <d v="2025-02-04T00:00:00"/>
    <n v="450000"/>
    <n v="445529.83416279481"/>
    <s v="A5"/>
    <s v="Self Reward (Upgrade HP / Liburan)"/>
    <s v="Rks. Campuran"/>
    <x v="0"/>
    <s v="RDPC"/>
    <m/>
  </r>
  <r>
    <d v="2025-02-01T00:00:00"/>
    <d v="2025-02-04T00:00:00"/>
    <n v="880000"/>
    <n v="871258.34236279875"/>
    <s v="B1"/>
    <s v="Dana Darurat"/>
    <s v="Rks. Pasar Uang"/>
    <x v="0"/>
    <s v="RDPU"/>
    <m/>
  </r>
  <r>
    <d v="2025-02-01T00:00:00"/>
    <d v="2025-02-04T00:00:00"/>
    <n v="201636.81218491902"/>
    <n v="199633.81220858128"/>
    <s v="B2"/>
    <s v="Mobil"/>
    <s v="Saham"/>
    <x v="2"/>
    <s v="QQQ"/>
    <m/>
  </r>
  <r>
    <d v="2025-02-01T00:00:00"/>
    <d v="2025-02-04T00:00:00"/>
    <n v="102227.01919982837"/>
    <n v="101211.52646901416"/>
    <s v="C1"/>
    <s v="Menikah"/>
    <s v="Saham"/>
    <x v="2"/>
    <s v="NVDA"/>
    <m/>
  </r>
  <r>
    <d v="2025-02-01T00:00:00"/>
    <d v="2025-02-04T00:00:00"/>
    <n v="169402.82098037112"/>
    <n v="167720.02386243193"/>
    <s v="C2"/>
    <s v="KPR Rumah"/>
    <s v="Saham"/>
    <x v="2"/>
    <s v="NVDA"/>
    <m/>
  </r>
  <r>
    <d v="2025-02-01T00:00:00"/>
    <d v="2025-02-04T00:00:00"/>
    <n v="291733.34763488144"/>
    <n v="288835.3555367238"/>
    <s v="D1"/>
    <s v="Dana Pensiun"/>
    <s v="Saham"/>
    <x v="2"/>
    <s v="SPY"/>
    <m/>
  </r>
  <r>
    <d v="2025-02-01T00:00:00"/>
    <d v="2025-02-04T00:00:00"/>
    <n v="594475"/>
    <n v="588569.66258650541"/>
    <s v="B2"/>
    <s v="Mobil"/>
    <s v="Saham"/>
    <x v="3"/>
    <s v="CBDK"/>
    <s v="Take Profit"/>
  </r>
  <r>
    <d v="2025-02-01T00:00:00"/>
    <d v="2025-02-04T00:00:00"/>
    <n v="1932293"/>
    <n v="1913098.1774309541"/>
    <s v="B2"/>
    <s v="Mobil"/>
    <s v="Saham"/>
    <x v="3"/>
    <s v="RATU"/>
    <s v="Take Profit"/>
  </r>
  <r>
    <d v="2025-02-01T00:00:00"/>
    <d v="2025-02-04T00:00:00"/>
    <n v="-2988350.14643182"/>
    <n v="-2958664.7670225166"/>
    <s v="A3"/>
    <s v="Wisuda (Fotografer, makeup, outfit, tiket bolak balik)"/>
    <s v="Rks. Campuran"/>
    <x v="0"/>
    <s v="RDPC"/>
    <s v="Withdrawn"/>
  </r>
  <r>
    <d v="2025-02-01T00:00:00"/>
    <d v="2025-02-10T00:00:00"/>
    <n v="-1406475"/>
    <n v="-1392503.4966758152"/>
    <s v="B2"/>
    <s v="Mobil"/>
    <s v="Saham"/>
    <x v="3"/>
    <s v="CBDK"/>
    <s v="Withdrawn"/>
  </r>
  <r>
    <d v="2025-02-01T00:00:00"/>
    <d v="2025-02-10T00:00:00"/>
    <n v="-2277293"/>
    <n v="-2254671.0502890968"/>
    <s v="B2"/>
    <s v="Mobil"/>
    <s v="Saham"/>
    <x v="3"/>
    <s v="RATU"/>
    <s v="Withdrawn"/>
  </r>
  <r>
    <d v="2025-02-01T00:00:00"/>
    <d v="2025-02-10T00:00:00"/>
    <n v="1447614"/>
    <n v="1433233.8341149779"/>
    <s v="D1"/>
    <s v="Dana Pensiun"/>
    <s v="Saham"/>
    <x v="2"/>
    <s v="SPY"/>
    <m/>
  </r>
  <r>
    <d v="2025-02-01T00:00:00"/>
    <d v="2025-02-10T00:00:00"/>
    <n v="2772359"/>
    <n v="2744819.212243848"/>
    <s v="B2"/>
    <s v="Mobil"/>
    <s v="Saham"/>
    <x v="2"/>
    <s v="QQQ"/>
    <m/>
  </r>
  <r>
    <d v="2025-02-01T00:00:00"/>
    <d v="2025-02-10T00:00:00"/>
    <n v="-1425879.803138386"/>
    <n v="-1411715.5382851637"/>
    <s v="D1"/>
    <s v="Dana Pensiun"/>
    <s v="Rks. Saham"/>
    <x v="0"/>
    <s v="RDSA"/>
    <m/>
  </r>
  <r>
    <d v="2025-02-01T00:00:00"/>
    <d v="2025-02-10T00:00:00"/>
    <n v="-955251.76622683334"/>
    <n v="-945762.57997946197"/>
    <s v="B2"/>
    <s v="Mobil"/>
    <s v="Rks. Saham"/>
    <x v="0"/>
    <s v="RDSA"/>
    <m/>
  </r>
  <r>
    <d v="2025-03-01T00:00:00"/>
    <d v="2025-03-01T00:00:00"/>
    <n v="-2025000"/>
    <n v="-2011567.201245019"/>
    <s v="A4"/>
    <s v="Upgrade outfit kerja"/>
    <s v="Rks. Obligasi"/>
    <x v="0"/>
    <s v="RDPT"/>
    <m/>
  </r>
  <r>
    <d v="2025-03-01T00:00:00"/>
    <d v="2025-03-01T00:00:00"/>
    <n v="880000"/>
    <n v="874162.53683734161"/>
    <s v="B1"/>
    <s v="Dana Darurat"/>
    <s v="Rks. Pasar Uang"/>
    <x v="0"/>
    <s v="RDPU"/>
    <m/>
  </r>
  <r>
    <d v="2025-03-01T00:00:00"/>
    <d v="2025-03-01T00:00:00"/>
    <n v="450000"/>
    <n v="447014.93361000426"/>
    <s v="A5"/>
    <s v="Self Reward (Upgrade HP / Liburan)"/>
    <s v="Rks. Campuran"/>
    <x v="0"/>
    <s v="RDPC"/>
    <m/>
  </r>
  <r>
    <d v="2025-03-01T00:00:00"/>
    <d v="2025-03-31T00:00:00"/>
    <n v="308000"/>
    <n v="305956.88789306954"/>
    <s v="B2"/>
    <s v="Mobil"/>
    <s v="Saham"/>
    <x v="2"/>
    <s v="QQQ"/>
    <m/>
  </r>
  <r>
    <d v="2025-03-01T00:00:00"/>
    <d v="2025-03-31T00:00:00"/>
    <n v="446000"/>
    <n v="443041.46753347083"/>
    <s v="D1"/>
    <s v="Dana Pensiun"/>
    <s v="Rks. Saham"/>
    <x v="0"/>
    <s v="RDSA"/>
    <m/>
  </r>
  <r>
    <d v="2025-03-01T00:00:00"/>
    <d v="2025-03-31T00:00:00"/>
    <n v="156000"/>
    <n v="154965.17698480145"/>
    <s v="C1"/>
    <s v="Menikah"/>
    <s v="Saham"/>
    <x v="2"/>
    <s v="NVDA"/>
    <m/>
  </r>
  <r>
    <d v="2025-03-01T00:00:00"/>
    <d v="2025-03-31T00:00:00"/>
    <n v="259000"/>
    <n v="257281.92845553576"/>
    <s v="C2"/>
    <s v="KPR Rumah"/>
    <s v="Saham"/>
    <x v="2"/>
    <s v="NVDA"/>
    <m/>
  </r>
  <r>
    <d v="2025-04-01T00:00:00"/>
    <d v="2025-04-09T00:00:00"/>
    <n v="600000"/>
    <n v="598006.64451827237"/>
    <s v="A5"/>
    <s v="Self Reward (Upgrade HP / Liburan)"/>
    <s v="Rks. Campuran"/>
    <x v="0"/>
    <s v="RDPC"/>
    <m/>
  </r>
  <r>
    <d v="2025-04-01T00:00:00"/>
    <d v="2025-04-09T00:00:00"/>
    <n v="880000"/>
    <n v="877076.41196013289"/>
    <s v="B1"/>
    <s v="Dana Darurat"/>
    <s v="Rks. Pasar Uang"/>
    <x v="0"/>
    <s v="RDPU"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  <r>
    <m/>
    <m/>
    <m/>
    <n v="0"/>
    <m/>
    <e v="#N/A"/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2FB98-818D-449D-86DA-D36452DDEAD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F23" firstHeaderRow="1" firstDataRow="1" firstDataCol="1"/>
  <pivotFields count="10">
    <pivotField showAll="0"/>
    <pivotField showAll="0"/>
    <pivotField dataField="1" showAll="0"/>
    <pivotField numFmtId="165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ominal" fld="2" baseField="0" baseItem="0" numFmtId="165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D4AFF-DA64-45EB-B604-29E2F250D5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4" firstHeaderRow="1" firstDataRow="1" firstDataCol="1"/>
  <pivotFields count="11">
    <pivotField showAll="0">
      <items count="9">
        <item x="0"/>
        <item x="1"/>
        <item x="7"/>
        <item x="2"/>
        <item x="3"/>
        <item x="4"/>
        <item x="5"/>
        <item x="6"/>
        <item t="default"/>
      </items>
    </pivotField>
    <pivotField showAll="0"/>
    <pivotField dataField="1" showAll="0"/>
    <pivotField numFmtId="165" showAll="0"/>
    <pivotField showAll="0"/>
    <pivotField axis="axisRow" showAll="0">
      <items count="12">
        <item x="1"/>
        <item x="0"/>
        <item x="8"/>
        <item x="7"/>
        <item x="6"/>
        <item x="5"/>
        <item x="9"/>
        <item x="4"/>
        <item x="3"/>
        <item x="2"/>
        <item x="1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ominal" fld="2" baseField="0" baseItem="0" numFmtId="165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5" type="button" dataOnly="0" labelOnly="1" outline="0" axis="axisRow" fieldPosition="0"/>
    </format>
    <format dxfId="5">
      <pivotArea dataOnly="0" labelOnly="1" fieldPosition="0">
        <references count="1">
          <reference field="5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7EF79-DC9D-42B3-854C-7C746540108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10" firstHeaderRow="1" firstDataRow="1" firstDataCol="1"/>
  <pivotFields count="11">
    <pivotField axis="axisRow" showAll="0">
      <items count="9">
        <item x="0"/>
        <item x="1"/>
        <item x="7"/>
        <item x="2"/>
        <item x="3"/>
        <item x="4"/>
        <item x="5"/>
        <item x="6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0"/>
  </rowFields>
  <rowItems count="8">
    <i>
      <x v="1"/>
    </i>
    <i>
      <x v="2"/>
    </i>
    <i>
      <x v="3"/>
    </i>
    <i>
      <x v="4"/>
    </i>
    <i>
      <x v="10"/>
    </i>
    <i>
      <x v="11"/>
    </i>
    <i>
      <x v="12"/>
    </i>
    <i t="grand">
      <x/>
    </i>
  </rowItems>
  <colItems count="1">
    <i/>
  </colItems>
  <dataFields count="1">
    <dataField name="Sum of Nominal" fld="2" baseField="0" baseItem="0" numFmtId="165"/>
  </dataFields>
  <formats count="5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0" type="button" dataOnly="0" labelOnly="1" outline="0" axis="axisRow" fieldPosition="0"/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37778-EA1A-4439-BA50-170F2CE8EA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17" firstHeaderRow="1" firstDataRow="1" firstDataCol="1"/>
  <pivotFields count="11">
    <pivotField showAll="0">
      <items count="9">
        <item x="0"/>
        <item x="1"/>
        <item x="7"/>
        <item x="2"/>
        <item x="3"/>
        <item x="4"/>
        <item x="5"/>
        <item x="6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  <pivotField axis="axisRow" showAll="0">
      <items count="15">
        <item x="6"/>
        <item x="4"/>
        <item x="5"/>
        <item x="1"/>
        <item x="2"/>
        <item x="0"/>
        <item x="3"/>
        <item x="13"/>
        <item x="7"/>
        <item x="8"/>
        <item x="9"/>
        <item x="10"/>
        <item x="11"/>
        <item x="1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Nominal" fld="2" baseField="0" baseItem="0" numFmtId="165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7A261-1FE0-4BF6-992B-075AA0E612C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11" firstHeaderRow="1" firstDataRow="1" firstDataCol="1"/>
  <pivotFields count="11">
    <pivotField showAll="0">
      <items count="9">
        <item x="0"/>
        <item x="1"/>
        <item x="7"/>
        <item x="2"/>
        <item x="3"/>
        <item x="4"/>
        <item x="5"/>
        <item x="6"/>
        <item t="default"/>
      </items>
    </pivotField>
    <pivotField showAll="0"/>
    <pivotField dataField="1" showAll="0"/>
    <pivotField numFmtId="165" showAll="0"/>
    <pivotField showAll="0"/>
    <pivotField showAll="0"/>
    <pivotField axis="axisRow" showAll="0">
      <items count="9">
        <item x="6"/>
        <item x="1"/>
        <item x="2"/>
        <item x="0"/>
        <item x="3"/>
        <item x="5"/>
        <item x="4"/>
        <item x="7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Nominal" fld="2" baseField="0" baseItem="0" numFmtId="165"/>
  </dataFields>
  <formats count="6">
    <format dxfId="25">
      <pivotArea type="all" dataOnly="0" outline="0" fieldPosition="0"/>
    </format>
    <format dxfId="24">
      <pivotArea field="6" type="button" dataOnly="0" labelOnly="1" outline="0" axis="axisRow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41" dT="2026-08-15T10:11:22.35" personId="{FFEA8EFF-1140-439E-BE62-B03A52F53EFB}" id="{7632ECDE-4C56-4F0A-A387-9BC0FB1935B9}">
    <text>Utang Farhan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DCAD-D580-4EAF-A334-13039DDA5DE3}">
  <dimension ref="B2:AD37"/>
  <sheetViews>
    <sheetView showGridLines="0" zoomScale="96" zoomScaleNormal="96" workbookViewId="0">
      <pane xSplit="5" ySplit="11" topLeftCell="X16" activePane="bottomRight" state="frozen"/>
      <selection pane="topRight" activeCell="E1" sqref="E1"/>
      <selection pane="bottomLeft" activeCell="A12" sqref="A12"/>
      <selection pane="bottomRight" activeCell="AC4" sqref="AC4"/>
    </sheetView>
  </sheetViews>
  <sheetFormatPr defaultColWidth="8.69921875" defaultRowHeight="12.9" outlineLevelRow="1" outlineLevelCol="1" x14ac:dyDescent="0.3"/>
  <cols>
    <col min="1" max="1" width="4.69921875" style="35" customWidth="1"/>
    <col min="2" max="2" width="4.69921875" style="45" customWidth="1"/>
    <col min="3" max="3" width="32.09765625" style="35" customWidth="1"/>
    <col min="4" max="4" width="14.8984375" style="35" customWidth="1"/>
    <col min="5" max="5" width="11.59765625" style="35" customWidth="1"/>
    <col min="6" max="6" width="36.296875" style="35" customWidth="1"/>
    <col min="7" max="7" width="10" style="35" customWidth="1"/>
    <col min="8" max="8" width="8.69921875" style="35"/>
    <col min="9" max="9" width="8.69921875" style="35" customWidth="1"/>
    <col min="10" max="10" width="20" style="44" customWidth="1"/>
    <col min="11" max="11" width="14.296875" style="44" customWidth="1"/>
    <col min="12" max="12" width="16.69921875" style="44" hidden="1" customWidth="1"/>
    <col min="13" max="13" width="20.796875" style="60" customWidth="1"/>
    <col min="14" max="14" width="16.5" style="35" customWidth="1"/>
    <col min="15" max="15" width="14.3984375" style="35" hidden="1" customWidth="1" outlineLevel="1"/>
    <col min="16" max="17" width="14.3984375" style="44" hidden="1" customWidth="1" outlineLevel="1"/>
    <col min="18" max="18" width="14.3984375" style="84" hidden="1" customWidth="1" outlineLevel="1"/>
    <col min="19" max="19" width="14.3984375" style="44" hidden="1" customWidth="1" outlineLevel="1"/>
    <col min="20" max="22" width="14.3984375" style="35" hidden="1" customWidth="1" outlineLevel="1"/>
    <col min="23" max="23" width="14.3984375" style="35" customWidth="1" collapsed="1"/>
    <col min="24" max="24" width="14.3984375" style="35" customWidth="1"/>
    <col min="25" max="25" width="13.8984375" style="35" bestFit="1" customWidth="1"/>
    <col min="26" max="26" width="15.19921875" style="35" customWidth="1"/>
    <col min="27" max="27" width="15.19921875" style="44" customWidth="1"/>
    <col min="28" max="28" width="15.19921875" style="35" customWidth="1"/>
    <col min="29" max="29" width="17.59765625" style="35" customWidth="1"/>
    <col min="30" max="31" width="15.19921875" style="35" customWidth="1"/>
    <col min="32" max="16384" width="8.69921875" style="35"/>
  </cols>
  <sheetData>
    <row r="2" spans="2:30" x14ac:dyDescent="0.3">
      <c r="J2" s="44" t="s">
        <v>57</v>
      </c>
    </row>
    <row r="3" spans="2:30" x14ac:dyDescent="0.3">
      <c r="F3" s="35" t="s">
        <v>54</v>
      </c>
      <c r="H3" s="47">
        <v>45566</v>
      </c>
      <c r="J3" s="44" t="s">
        <v>56</v>
      </c>
      <c r="K3" s="62">
        <v>0</v>
      </c>
    </row>
    <row r="4" spans="2:30" x14ac:dyDescent="0.3">
      <c r="F4" s="35" t="s">
        <v>38</v>
      </c>
      <c r="H4" s="43">
        <v>0.04</v>
      </c>
      <c r="J4" s="44" t="s">
        <v>58</v>
      </c>
      <c r="K4" s="59">
        <v>0.05</v>
      </c>
    </row>
    <row r="5" spans="2:30" x14ac:dyDescent="0.3">
      <c r="F5" s="35" t="s">
        <v>39</v>
      </c>
      <c r="H5" s="43">
        <v>0.06</v>
      </c>
      <c r="J5" s="44" t="s">
        <v>68</v>
      </c>
      <c r="K5" s="59">
        <v>7.0000000000000007E-2</v>
      </c>
    </row>
    <row r="6" spans="2:30" x14ac:dyDescent="0.3">
      <c r="F6" s="35" t="s">
        <v>40</v>
      </c>
      <c r="H6" s="43">
        <v>0.08</v>
      </c>
      <c r="J6" s="44" t="s">
        <v>59</v>
      </c>
      <c r="K6" s="59">
        <v>0.1</v>
      </c>
      <c r="Q6" s="65" t="s">
        <v>63</v>
      </c>
    </row>
    <row r="7" spans="2:30" x14ac:dyDescent="0.3">
      <c r="J7" s="44" t="s">
        <v>60</v>
      </c>
      <c r="K7" s="59">
        <v>0.12</v>
      </c>
    </row>
    <row r="8" spans="2:30" x14ac:dyDescent="0.3">
      <c r="AD8" s="84">
        <v>36129106</v>
      </c>
    </row>
    <row r="9" spans="2:30" x14ac:dyDescent="0.3">
      <c r="AD9" s="84">
        <v>14857848</v>
      </c>
    </row>
    <row r="10" spans="2:30" x14ac:dyDescent="0.3">
      <c r="C10" s="35" t="s">
        <v>106</v>
      </c>
      <c r="E10" s="47">
        <v>45778</v>
      </c>
      <c r="O10" s="45"/>
      <c r="P10" s="35"/>
      <c r="Q10" s="46"/>
      <c r="AD10" s="84">
        <f>AD8+AD9</f>
        <v>50986954</v>
      </c>
    </row>
    <row r="11" spans="2:30" x14ac:dyDescent="0.3">
      <c r="B11" s="68" t="s">
        <v>70</v>
      </c>
      <c r="C11" s="57" t="s">
        <v>29</v>
      </c>
      <c r="D11" s="57" t="s">
        <v>107</v>
      </c>
      <c r="E11" s="57" t="s">
        <v>81</v>
      </c>
      <c r="F11" s="57" t="s">
        <v>28</v>
      </c>
      <c r="G11" s="57" t="s">
        <v>160</v>
      </c>
      <c r="H11" s="57" t="s">
        <v>30</v>
      </c>
      <c r="I11" s="57" t="s">
        <v>31</v>
      </c>
      <c r="J11" s="58" t="s">
        <v>32</v>
      </c>
      <c r="K11" s="58" t="s">
        <v>42</v>
      </c>
      <c r="L11" s="58" t="s">
        <v>61</v>
      </c>
      <c r="M11" s="58" t="s">
        <v>83</v>
      </c>
      <c r="N11" s="57" t="s">
        <v>62</v>
      </c>
      <c r="O11" s="64">
        <v>45566</v>
      </c>
      <c r="P11" s="64">
        <v>45597</v>
      </c>
      <c r="Q11" s="64">
        <v>45627</v>
      </c>
      <c r="R11" s="64">
        <v>45658</v>
      </c>
      <c r="S11" s="64">
        <v>45689</v>
      </c>
      <c r="T11" s="64">
        <v>45717</v>
      </c>
      <c r="U11" s="64">
        <v>45748</v>
      </c>
      <c r="V11" s="64">
        <v>45778</v>
      </c>
      <c r="W11" s="64">
        <v>45809</v>
      </c>
      <c r="X11" s="64">
        <v>45839</v>
      </c>
      <c r="Y11" s="64">
        <v>45870</v>
      </c>
      <c r="Z11" s="64">
        <v>45901</v>
      </c>
      <c r="AA11" s="58" t="s">
        <v>42</v>
      </c>
      <c r="AB11" s="57" t="s">
        <v>64</v>
      </c>
      <c r="AC11" s="57" t="s">
        <v>62</v>
      </c>
    </row>
    <row r="12" spans="2:30" hidden="1" outlineLevel="1" x14ac:dyDescent="0.3">
      <c r="B12" s="68" t="s">
        <v>71</v>
      </c>
      <c r="C12" s="48" t="s">
        <v>51</v>
      </c>
      <c r="D12" s="82">
        <f>SUMIF(Process!$F$3:$F$204,Plan!B12,Process!$E$3:$E$204)</f>
        <v>0</v>
      </c>
      <c r="E12" s="83">
        <f>IF(D12&lt;1,100%,D12/K12)</f>
        <v>1</v>
      </c>
      <c r="F12" s="48" t="s">
        <v>33</v>
      </c>
      <c r="G12" s="108">
        <v>45566</v>
      </c>
      <c r="H12" s="49">
        <v>45597</v>
      </c>
      <c r="I12" s="50">
        <f>(YEAR(H12)-YEAR(G12))*12+MONTH(H12)-MONTH(G12)</f>
        <v>1</v>
      </c>
      <c r="J12" s="51">
        <v>750000</v>
      </c>
      <c r="K12" s="51">
        <f t="shared" ref="K12:K18" si="0">-FV($H$4/12,I12,0,J12,0)</f>
        <v>752500</v>
      </c>
      <c r="L12" s="51">
        <v>750000</v>
      </c>
      <c r="M12" s="61" t="s">
        <v>56</v>
      </c>
      <c r="N12" s="51">
        <f>ROUND(PMT((IF($M12=$J$3,$K$3,IF($M12=$J$4,$K$4,IF($M12=$J$5,$K$5,IF($M12=$J$6,$K$6,IF($M12=$J$7,$K$7)))))/12),I12,0,-K12,0),-2)</f>
        <v>752500</v>
      </c>
      <c r="O12" s="66">
        <v>750000</v>
      </c>
      <c r="P12" s="55"/>
      <c r="Q12" s="55"/>
      <c r="R12" s="87"/>
      <c r="S12" s="55"/>
      <c r="T12" s="55"/>
      <c r="U12" s="55"/>
      <c r="V12" s="55"/>
      <c r="W12" s="55"/>
      <c r="X12" s="55"/>
      <c r="Y12" s="55"/>
      <c r="Z12" s="55"/>
      <c r="AA12" s="55" cm="1">
        <f t="array" ref="AA12">SUMPRODUCT(O12:Z12*(1 +(IF(M12=$J$3,$K$3,IF(M12=$J$4,$K$4,IF(M12=$J$5,$K$5,IF(M12=$J$6,$K$6,IF(M12=$J$7,$K$7)))))/12))^((COLUMN(O12:Z12) - COLUMN(O12))))</f>
        <v>750000</v>
      </c>
      <c r="AB12" s="55">
        <f>K12-AA12</f>
        <v>2500</v>
      </c>
      <c r="AC12" s="51">
        <f>ROUND(PMT((IF($M12=$J$3,$K$3,IF($M12=$J$4,$K$4,IF($M12=$J$5,$K$5,IF($M12=$J$6,$K$6,IF($M12=$J$7,$K$7)))))/12),(I12-12),0,-AB12,0),-2)</f>
        <v>-200</v>
      </c>
    </row>
    <row r="13" spans="2:30" hidden="1" outlineLevel="1" x14ac:dyDescent="0.3">
      <c r="B13" s="68" t="s">
        <v>73</v>
      </c>
      <c r="C13" s="48" t="s">
        <v>52</v>
      </c>
      <c r="D13" s="82">
        <f>SUMIF(Process!$F$3:$F$204,Plan!B13,Process!$E$3:$E$204)</f>
        <v>-5236.5330166917411</v>
      </c>
      <c r="E13" s="83">
        <f t="shared" ref="E13:E22" si="1">IF(D13&lt;1,100%,D13/K13)</f>
        <v>1</v>
      </c>
      <c r="F13" s="53" t="s">
        <v>33</v>
      </c>
      <c r="G13" s="108">
        <v>45566</v>
      </c>
      <c r="H13" s="49">
        <v>45597</v>
      </c>
      <c r="I13" s="50">
        <f t="shared" ref="I13:I22" si="2">(YEAR(H13)-YEAR(G13))*12+MONTH(H13)-MONTH(G13)</f>
        <v>1</v>
      </c>
      <c r="J13" s="51">
        <v>400000</v>
      </c>
      <c r="K13" s="51">
        <f t="shared" si="0"/>
        <v>401333.33333333337</v>
      </c>
      <c r="L13" s="51">
        <f t="shared" ref="L13:L22" si="3">K13/I13</f>
        <v>401333.33333333337</v>
      </c>
      <c r="M13" s="61" t="s">
        <v>59</v>
      </c>
      <c r="N13" s="51">
        <f t="shared" ref="N13:N22" si="4">ROUND(PMT((IF(M13=$J$3,$K$3,IF(M13=$J$4,$K$4,IF(M13=$J$5,$K$5,IF(M13=$J$6,$K$6,IF(M13=$J$7,$K$7)))))/12),I13,0,-K13,0),-2)</f>
        <v>401300</v>
      </c>
      <c r="O13" s="66">
        <v>400000</v>
      </c>
      <c r="P13" s="55"/>
      <c r="Q13" s="55"/>
      <c r="R13" s="87"/>
      <c r="S13" s="55"/>
      <c r="T13" s="55"/>
      <c r="U13" s="55"/>
      <c r="V13" s="55"/>
      <c r="W13" s="55"/>
      <c r="X13" s="55"/>
      <c r="Y13" s="55"/>
      <c r="Z13" s="55"/>
      <c r="AA13" s="55" cm="1">
        <f t="array" ref="AA13">SUMPRODUCT(O13:Z13*(1 +(IF(M13=$J$3,$K$3,IF(M13=$J$4,$K$4,IF(M13=$J$5,$K$5,IF(M13=$J$6,$K$6,IF(M13=$J$7,$K$7)))))/12))^((COLUMN(O13:Z13) - COLUMN(O13))))</f>
        <v>400000</v>
      </c>
      <c r="AB13" s="55">
        <f t="shared" ref="AB13:AB22" si="5">K13-AA13</f>
        <v>1333.3333333333721</v>
      </c>
      <c r="AC13" s="51">
        <f t="shared" ref="AC13:AC22" si="6">ROUND(PMT((IF($M13=$J$3,$K$3,IF($M13=$J$4,$K$4,IF($M13=$J$5,$K$5,IF($M13=$J$6,$K$6,IF($M13=$J$7,$K$7)))))/12),(I13-12),0,-AB13,0),-2)</f>
        <v>-100</v>
      </c>
    </row>
    <row r="14" spans="2:30" ht="25.8" hidden="1" outlineLevel="1" x14ac:dyDescent="0.3">
      <c r="B14" s="68" t="s">
        <v>74</v>
      </c>
      <c r="C14" s="52" t="s">
        <v>53</v>
      </c>
      <c r="D14" s="82">
        <f>SUMIF(Process!$F$3:$F$204,Plan!B14,Process!$E$3:$E$204)</f>
        <v>2.3283064365386963E-9</v>
      </c>
      <c r="E14" s="83">
        <f t="shared" si="1"/>
        <v>1</v>
      </c>
      <c r="F14" s="53" t="s">
        <v>33</v>
      </c>
      <c r="G14" s="108">
        <v>45566</v>
      </c>
      <c r="H14" s="49">
        <v>45689</v>
      </c>
      <c r="I14" s="50">
        <f t="shared" si="2"/>
        <v>4</v>
      </c>
      <c r="J14" s="51">
        <v>3000000</v>
      </c>
      <c r="K14" s="51">
        <f t="shared" si="0"/>
        <v>3040200.4448148157</v>
      </c>
      <c r="L14" s="51">
        <f t="shared" si="3"/>
        <v>760050.11120370391</v>
      </c>
      <c r="M14" s="61" t="s">
        <v>59</v>
      </c>
      <c r="N14" s="51">
        <f t="shared" si="4"/>
        <v>750600</v>
      </c>
      <c r="O14" s="66">
        <v>505000</v>
      </c>
      <c r="P14" s="66">
        <f>O14</f>
        <v>505000</v>
      </c>
      <c r="Q14" s="55">
        <v>1000000</v>
      </c>
      <c r="R14" s="87">
        <f>Q14</f>
        <v>1000000</v>
      </c>
      <c r="S14" s="55"/>
      <c r="T14" s="55"/>
      <c r="U14" s="55"/>
      <c r="V14" s="55"/>
      <c r="W14" s="55"/>
      <c r="X14" s="55"/>
      <c r="Y14" s="55"/>
      <c r="Z14" s="55"/>
      <c r="AA14" s="55" cm="1">
        <f t="array" ref="AA14">SUMPRODUCT(O14:Z14*(1 +(IF(M14=$J$3,$K$3,IF(M14=$J$4,$K$4,IF(M14=$J$5,$K$5,IF(M14=$J$6,$K$6,IF(M14=$J$7,$K$7)))))/12))^((COLUMN(O14:Z14) - COLUMN(O14))))</f>
        <v>3056153.3564814813</v>
      </c>
      <c r="AB14" s="55">
        <f t="shared" si="5"/>
        <v>-15952.911666665692</v>
      </c>
      <c r="AC14" s="51">
        <f t="shared" si="6"/>
        <v>2100</v>
      </c>
    </row>
    <row r="15" spans="2:30" hidden="1" outlineLevel="1" x14ac:dyDescent="0.3">
      <c r="B15" s="68" t="s">
        <v>75</v>
      </c>
      <c r="C15" s="53" t="s">
        <v>34</v>
      </c>
      <c r="D15" s="82">
        <f>SUMIF(Process!$F$3:$F$204,Plan!B15,Process!$E$3:$E$204)</f>
        <v>-19960.253596910043</v>
      </c>
      <c r="E15" s="83">
        <f t="shared" si="1"/>
        <v>1</v>
      </c>
      <c r="F15" s="53" t="s">
        <v>33</v>
      </c>
      <c r="G15" s="108">
        <v>45566</v>
      </c>
      <c r="H15" s="49">
        <v>45717</v>
      </c>
      <c r="I15" s="50">
        <f t="shared" si="2"/>
        <v>5</v>
      </c>
      <c r="J15" s="51">
        <v>2000000</v>
      </c>
      <c r="K15" s="51">
        <f t="shared" si="0"/>
        <v>2033556.2975316881</v>
      </c>
      <c r="L15" s="51">
        <f t="shared" si="3"/>
        <v>406711.25950633764</v>
      </c>
      <c r="M15" s="61" t="s">
        <v>68</v>
      </c>
      <c r="N15" s="51">
        <f t="shared" si="4"/>
        <v>402000</v>
      </c>
      <c r="O15" s="66">
        <v>405000</v>
      </c>
      <c r="P15" s="66">
        <f t="shared" ref="P15:S15" si="7">O15</f>
        <v>405000</v>
      </c>
      <c r="Q15" s="55">
        <f t="shared" si="7"/>
        <v>405000</v>
      </c>
      <c r="R15" s="87">
        <f t="shared" si="7"/>
        <v>405000</v>
      </c>
      <c r="S15" s="55">
        <f t="shared" si="7"/>
        <v>405000</v>
      </c>
      <c r="T15" s="55"/>
      <c r="U15" s="55"/>
      <c r="V15" s="55"/>
      <c r="W15" s="55"/>
      <c r="X15" s="55"/>
      <c r="Y15" s="55"/>
      <c r="Z15" s="55"/>
      <c r="AA15" s="55" cm="1">
        <f t="array" ref="AA15">SUMPRODUCT(O15:Z15*(1 +(IF(M15=$J$3,$K$3,IF(M15=$J$4,$K$4,IF(M15=$J$5,$K$5,IF(M15=$J$6,$K$6,IF(M15=$J$7,$K$7)))))/12))^((COLUMN(O15:Z15) - COLUMN(O15))))</f>
        <v>2048763.2149220705</v>
      </c>
      <c r="AB15" s="55">
        <f t="shared" si="5"/>
        <v>-15206.917390382383</v>
      </c>
      <c r="AC15" s="51">
        <f t="shared" si="6"/>
        <v>2200</v>
      </c>
    </row>
    <row r="16" spans="2:30" collapsed="1" x14ac:dyDescent="0.3">
      <c r="B16" s="68" t="s">
        <v>76</v>
      </c>
      <c r="C16" s="53" t="s">
        <v>69</v>
      </c>
      <c r="D16" s="82">
        <f>SUMIF(Process!$F$3:$F$204,Plan!B16,Process!$E$3:$E$204)</f>
        <v>3257918.1866261759</v>
      </c>
      <c r="E16" s="83">
        <f t="shared" si="1"/>
        <v>0.70261997511189056</v>
      </c>
      <c r="F16" s="53" t="s">
        <v>33</v>
      </c>
      <c r="G16" s="108">
        <v>45566</v>
      </c>
      <c r="H16" s="49">
        <v>45839</v>
      </c>
      <c r="I16" s="50">
        <f t="shared" si="2"/>
        <v>9</v>
      </c>
      <c r="J16" s="51">
        <v>4500000</v>
      </c>
      <c r="K16" s="51">
        <f>-FV($H$4/12,I16,0,J16,0)</f>
        <v>4636814.0702338563</v>
      </c>
      <c r="L16" s="51">
        <f t="shared" si="3"/>
        <v>515201.56335931737</v>
      </c>
      <c r="M16" s="61" t="s">
        <v>59</v>
      </c>
      <c r="N16" s="51">
        <f t="shared" si="4"/>
        <v>498300</v>
      </c>
      <c r="O16" s="66">
        <v>450000</v>
      </c>
      <c r="P16" s="66">
        <f t="shared" ref="P16:W16" si="8">O16</f>
        <v>450000</v>
      </c>
      <c r="Q16" s="66">
        <f t="shared" si="8"/>
        <v>450000</v>
      </c>
      <c r="R16" s="104">
        <f t="shared" si="8"/>
        <v>450000</v>
      </c>
      <c r="S16" s="66">
        <f t="shared" si="8"/>
        <v>450000</v>
      </c>
      <c r="T16" s="66">
        <f t="shared" si="8"/>
        <v>450000</v>
      </c>
      <c r="U16" s="66">
        <v>600000</v>
      </c>
      <c r="V16" s="66">
        <f t="shared" si="8"/>
        <v>600000</v>
      </c>
      <c r="W16" s="66">
        <f t="shared" si="8"/>
        <v>600000</v>
      </c>
      <c r="X16" s="55"/>
      <c r="Y16" s="55"/>
      <c r="Z16" s="55"/>
      <c r="AA16" s="55" cm="1">
        <f t="array" ref="AA16">SUMPRODUCT(O16:Z16*(1 +(IF(M16=$J$3,$K$3,IF(M16=$J$4,$K$4,IF(M16=$J$5,$K$5,IF(M16=$J$6,$K$6,IF(M16=$J$7,$K$7)))))/12))^((COLUMN(O16:Z16) - COLUMN(O16))))</f>
        <v>4664584.4768530717</v>
      </c>
      <c r="AB16" s="55">
        <f t="shared" si="5"/>
        <v>-27770.406619215384</v>
      </c>
      <c r="AC16" s="51">
        <f t="shared" si="6"/>
        <v>9400</v>
      </c>
    </row>
    <row r="17" spans="2:30" x14ac:dyDescent="0.3">
      <c r="B17" s="68" t="s">
        <v>158</v>
      </c>
      <c r="C17" s="53" t="s">
        <v>159</v>
      </c>
      <c r="D17" s="82">
        <f>SUMIF(Process!$F$3:$F$204,Plan!B17,Process!$E$3:$E$204)</f>
        <v>0</v>
      </c>
      <c r="E17" s="83">
        <f t="shared" si="1"/>
        <v>1</v>
      </c>
      <c r="F17" s="53" t="s">
        <v>33</v>
      </c>
      <c r="G17" s="108">
        <v>45778</v>
      </c>
      <c r="H17" s="49">
        <v>46143</v>
      </c>
      <c r="I17" s="50">
        <f t="shared" si="2"/>
        <v>12</v>
      </c>
      <c r="J17" s="51">
        <f>250000*I17</f>
        <v>3000000</v>
      </c>
      <c r="K17" s="51">
        <v>3000000</v>
      </c>
      <c r="L17" s="51"/>
      <c r="M17" s="61" t="s">
        <v>58</v>
      </c>
      <c r="N17" s="51">
        <f>K17/I17</f>
        <v>250000</v>
      </c>
      <c r="O17" s="66"/>
      <c r="P17" s="66"/>
      <c r="Q17" s="66"/>
      <c r="R17" s="104"/>
      <c r="S17" s="66"/>
      <c r="T17" s="66"/>
      <c r="U17" s="66"/>
      <c r="V17" s="55"/>
      <c r="W17" s="66">
        <v>250000</v>
      </c>
      <c r="X17" s="55">
        <v>250000</v>
      </c>
      <c r="Y17" s="55">
        <v>250000</v>
      </c>
      <c r="Z17" s="55">
        <v>0</v>
      </c>
      <c r="AA17" s="55"/>
      <c r="AB17" s="55"/>
      <c r="AC17" s="51"/>
    </row>
    <row r="18" spans="2:30" x14ac:dyDescent="0.3">
      <c r="B18" s="68" t="s">
        <v>77</v>
      </c>
      <c r="C18" s="53" t="s">
        <v>35</v>
      </c>
      <c r="D18" s="82">
        <f>SUMIF(Process!$F$3:$F$204,Plan!B18,Process!$E$3:$E$204)</f>
        <v>6078681.2054155879</v>
      </c>
      <c r="E18" s="83">
        <f t="shared" si="1"/>
        <v>0.38168383989197219</v>
      </c>
      <c r="F18" s="53" t="s">
        <v>37</v>
      </c>
      <c r="G18" s="108">
        <v>45566</v>
      </c>
      <c r="H18" s="49">
        <v>46113</v>
      </c>
      <c r="I18" s="50">
        <f t="shared" si="2"/>
        <v>18</v>
      </c>
      <c r="J18" s="51">
        <v>15000000</v>
      </c>
      <c r="K18" s="51">
        <f t="shared" si="0"/>
        <v>15925959.053273082</v>
      </c>
      <c r="L18" s="51">
        <f t="shared" si="3"/>
        <v>884775.50295961567</v>
      </c>
      <c r="M18" s="61" t="s">
        <v>58</v>
      </c>
      <c r="N18" s="51">
        <f t="shared" si="4"/>
        <v>853900</v>
      </c>
      <c r="O18" s="66">
        <v>880000</v>
      </c>
      <c r="P18" s="66">
        <f t="shared" ref="P18:Y18" si="9">O18</f>
        <v>880000</v>
      </c>
      <c r="Q18" s="66">
        <f t="shared" si="9"/>
        <v>880000</v>
      </c>
      <c r="R18" s="104">
        <f t="shared" si="9"/>
        <v>880000</v>
      </c>
      <c r="S18" s="66">
        <f t="shared" si="9"/>
        <v>880000</v>
      </c>
      <c r="T18" s="66">
        <f t="shared" si="9"/>
        <v>880000</v>
      </c>
      <c r="U18" s="66">
        <f t="shared" si="9"/>
        <v>880000</v>
      </c>
      <c r="V18" s="66">
        <f t="shared" si="9"/>
        <v>880000</v>
      </c>
      <c r="W18" s="66">
        <f t="shared" si="9"/>
        <v>880000</v>
      </c>
      <c r="X18" s="55">
        <f t="shared" si="9"/>
        <v>880000</v>
      </c>
      <c r="Y18" s="55">
        <f t="shared" si="9"/>
        <v>880000</v>
      </c>
      <c r="Z18" s="55">
        <v>0</v>
      </c>
      <c r="AA18" s="55" cm="1">
        <f t="array" ref="AA18">SUMPRODUCT(O18:Z18*(1 +(IF(M18=$J$3,$K$3,IF(M18=$J$4,$K$4,IF(M18=$J$5,$K$5,IF(M18=$J$6,$K$6,IF(M18=$J$7,$K$7)))))/12))^((COLUMN(O18:Z18) - COLUMN(O18))))</f>
        <v>9884208.6299970634</v>
      </c>
      <c r="AB18" s="55">
        <f t="shared" si="5"/>
        <v>6041750.4232760184</v>
      </c>
      <c r="AC18" s="51">
        <f t="shared" si="6"/>
        <v>996500</v>
      </c>
    </row>
    <row r="19" spans="2:30" x14ac:dyDescent="0.3">
      <c r="B19" s="68" t="s">
        <v>78</v>
      </c>
      <c r="C19" s="53" t="s">
        <v>67</v>
      </c>
      <c r="D19" s="82">
        <f>SUMIF(Process!$F$3:$F$204,Plan!B19,Process!$E$3:$E$204)</f>
        <v>3572701.828959527</v>
      </c>
      <c r="E19" s="83">
        <f t="shared" si="1"/>
        <v>2.8126260562162324E-2</v>
      </c>
      <c r="F19" s="53" t="s">
        <v>37</v>
      </c>
      <c r="G19" s="108">
        <v>45566</v>
      </c>
      <c r="H19" s="49">
        <v>46661</v>
      </c>
      <c r="I19" s="50">
        <f t="shared" si="2"/>
        <v>36</v>
      </c>
      <c r="J19" s="51">
        <v>100000000</v>
      </c>
      <c r="K19" s="51">
        <f>-FV($H$6/12,I19,0,J19,0)</f>
        <v>127023705.16206512</v>
      </c>
      <c r="L19" s="51">
        <f t="shared" si="3"/>
        <v>3528436.2545018089</v>
      </c>
      <c r="M19" s="61" t="s">
        <v>60</v>
      </c>
      <c r="N19" s="51">
        <f t="shared" si="4"/>
        <v>2948800</v>
      </c>
      <c r="O19" s="66">
        <f t="shared" ref="O19:Z22" si="10">$N19/SUM($N$19:$N$22)*(O$24-(SUM(O$12:O$18)))</f>
        <v>635221.8527655619</v>
      </c>
      <c r="P19" s="66">
        <f t="shared" si="10"/>
        <v>332107.69065751368</v>
      </c>
      <c r="Q19" s="66">
        <f t="shared" si="10"/>
        <v>68530.158389645687</v>
      </c>
      <c r="R19" s="104">
        <f t="shared" si="10"/>
        <v>68530.158389645687</v>
      </c>
      <c r="S19" s="66">
        <f t="shared" si="10"/>
        <v>201636.81218491902</v>
      </c>
      <c r="T19" s="66">
        <f t="shared" si="10"/>
        <v>308385.71275340556</v>
      </c>
      <c r="U19" s="66">
        <f t="shared" si="10"/>
        <v>295206.83614001219</v>
      </c>
      <c r="V19" s="66">
        <f t="shared" si="10"/>
        <v>152874.96871536344</v>
      </c>
      <c r="W19" s="55">
        <f t="shared" si="10"/>
        <v>492889.98534091318</v>
      </c>
      <c r="X19" s="55">
        <f t="shared" si="10"/>
        <v>545605.49179448676</v>
      </c>
      <c r="Y19" s="55">
        <f t="shared" si="10"/>
        <v>730109.76438199438</v>
      </c>
      <c r="Z19" s="55">
        <f t="shared" si="10"/>
        <v>316293.03872144158</v>
      </c>
      <c r="AA19" s="55" cm="1">
        <f t="array" ref="AA19">SUMPRODUCT(O19:Z19*(1 +(IF(M19=$J$3,$K$3,IF(M19=$J$4,$K$4,IF(M19=$J$5,$K$5,IF(M19=$J$6,$K$6,IF(M19=$J$7,$K$7)))))/12))^((COLUMN(O19:Z19) - COLUMN(O19))))</f>
        <v>4412199.5960479323</v>
      </c>
      <c r="AB19" s="55">
        <f t="shared" si="5"/>
        <v>122611505.56601718</v>
      </c>
      <c r="AC19" s="51">
        <f t="shared" si="6"/>
        <v>4545600</v>
      </c>
      <c r="AD19" s="35">
        <f>Z19/16834</f>
        <v>18.788941352111298</v>
      </c>
    </row>
    <row r="20" spans="2:30" x14ac:dyDescent="0.3">
      <c r="B20" s="68" t="s">
        <v>79</v>
      </c>
      <c r="C20" s="53" t="s">
        <v>36</v>
      </c>
      <c r="D20" s="82">
        <f>SUMIF(Process!$F$3:$F$204,Plan!B20,Process!$E$3:$E$204)</f>
        <v>1244611.1256578022</v>
      </c>
      <c r="E20" s="83">
        <f t="shared" si="1"/>
        <v>1.0193403747666793E-2</v>
      </c>
      <c r="F20" s="53" t="s">
        <v>66</v>
      </c>
      <c r="G20" s="108">
        <v>45566</v>
      </c>
      <c r="H20" s="49">
        <v>47392</v>
      </c>
      <c r="I20" s="50">
        <f t="shared" si="2"/>
        <v>60</v>
      </c>
      <c r="J20" s="51">
        <v>100000000</v>
      </c>
      <c r="K20" s="51">
        <f>-FV($H$4/12,I20,0,J20,0)</f>
        <v>122099659.39421226</v>
      </c>
      <c r="L20" s="51">
        <f t="shared" si="3"/>
        <v>2034994.323236871</v>
      </c>
      <c r="M20" s="61" t="s">
        <v>60</v>
      </c>
      <c r="N20" s="51">
        <f t="shared" si="4"/>
        <v>1495000</v>
      </c>
      <c r="O20" s="66">
        <f t="shared" si="10"/>
        <v>322048.51800207369</v>
      </c>
      <c r="P20" s="66">
        <f t="shared" si="10"/>
        <v>168373.91397618791</v>
      </c>
      <c r="Q20" s="66">
        <f t="shared" si="10"/>
        <v>34743.823518895915</v>
      </c>
      <c r="R20" s="104">
        <f t="shared" si="10"/>
        <v>34743.823518895915</v>
      </c>
      <c r="S20" s="66">
        <f t="shared" si="10"/>
        <v>102227.01919982837</v>
      </c>
      <c r="T20" s="66">
        <f t="shared" si="10"/>
        <v>156347.20583503164</v>
      </c>
      <c r="U20" s="66">
        <f t="shared" si="10"/>
        <v>149665.70131216702</v>
      </c>
      <c r="V20" s="66">
        <f t="shared" si="10"/>
        <v>77505.452465229348</v>
      </c>
      <c r="W20" s="55">
        <f t="shared" si="10"/>
        <v>249888.26915513602</v>
      </c>
      <c r="X20" s="55">
        <f t="shared" si="10"/>
        <v>276614.28724659444</v>
      </c>
      <c r="Y20" s="55">
        <f t="shared" si="10"/>
        <v>370155.35056669882</v>
      </c>
      <c r="Z20" s="55">
        <f t="shared" si="10"/>
        <v>160356.10854875037</v>
      </c>
      <c r="AA20" s="55" cm="1">
        <f t="array" ref="AA20">SUMPRODUCT(O20:Z20*(1 +(IF(M20=$J$3,$K$3,IF(M20=$J$4,$K$4,IF(M20=$J$5,$K$5,IF(M20=$J$6,$K$6,IF(M20=$J$7,$K$7)))))/12))^((COLUMN(O20:Z20) - COLUMN(O20))))</f>
        <v>2236922.9503837693</v>
      </c>
      <c r="AB20" s="55">
        <f t="shared" si="5"/>
        <v>119862736.44382849</v>
      </c>
      <c r="AC20" s="51">
        <f t="shared" si="6"/>
        <v>1957800</v>
      </c>
      <c r="AD20" s="35">
        <f t="shared" ref="AD20:AD23" si="11">Z20/16834</f>
        <v>9.5257282017791596</v>
      </c>
    </row>
    <row r="21" spans="2:30" x14ac:dyDescent="0.3">
      <c r="B21" s="68" t="s">
        <v>80</v>
      </c>
      <c r="C21" s="53" t="s">
        <v>65</v>
      </c>
      <c r="D21" s="82">
        <f>SUMIF(Process!$F$3:$F$204,Plan!B21,Process!$E$3:$E$204)</f>
        <v>2062913.6595759213</v>
      </c>
      <c r="E21" s="83">
        <f t="shared" si="1"/>
        <v>1.0195912203081761E-2</v>
      </c>
      <c r="F21" s="53" t="s">
        <v>66</v>
      </c>
      <c r="G21" s="108">
        <v>45566</v>
      </c>
      <c r="H21" s="49">
        <v>47392</v>
      </c>
      <c r="I21" s="50">
        <f t="shared" si="2"/>
        <v>60</v>
      </c>
      <c r="J21" s="51">
        <f>150000000</f>
        <v>150000000</v>
      </c>
      <c r="K21" s="51">
        <f>-FV($H$5/12,I21,0,J21,0)</f>
        <v>202327522.88239557</v>
      </c>
      <c r="L21" s="51">
        <f t="shared" si="3"/>
        <v>3372125.3813732592</v>
      </c>
      <c r="M21" s="61" t="s">
        <v>60</v>
      </c>
      <c r="N21" s="51">
        <f t="shared" si="4"/>
        <v>2477400</v>
      </c>
      <c r="O21" s="66">
        <f t="shared" si="10"/>
        <v>533674.24648718222</v>
      </c>
      <c r="P21" s="66">
        <f t="shared" si="10"/>
        <v>279016.41102649365</v>
      </c>
      <c r="Q21" s="66">
        <f t="shared" si="10"/>
        <v>57574.81497372091</v>
      </c>
      <c r="R21" s="104">
        <f t="shared" si="10"/>
        <v>57574.81497372091</v>
      </c>
      <c r="S21" s="66">
        <f t="shared" si="10"/>
        <v>169402.82098037112</v>
      </c>
      <c r="T21" s="66">
        <f t="shared" si="10"/>
        <v>259086.66738174408</v>
      </c>
      <c r="U21" s="66">
        <f t="shared" si="10"/>
        <v>248014.58757910546</v>
      </c>
      <c r="V21" s="66">
        <f t="shared" si="10"/>
        <v>128436.12571060818</v>
      </c>
      <c r="W21" s="55">
        <f t="shared" si="10"/>
        <v>414095.78461868496</v>
      </c>
      <c r="X21" s="55">
        <f t="shared" si="10"/>
        <v>458384.10382923955</v>
      </c>
      <c r="Y21" s="55">
        <f t="shared" si="10"/>
        <v>613393.22106618038</v>
      </c>
      <c r="Z21" s="55">
        <f t="shared" si="10"/>
        <v>265729.91526332725</v>
      </c>
      <c r="AA21" s="55" cm="1">
        <f t="array" ref="AA21">SUMPRODUCT(O21:Z21*(1 +(IF(M21=$J$3,$K$3,IF(M21=$J$4,$K$4,IF(M21=$J$5,$K$5,IF(M21=$J$6,$K$6,IF(M21=$J$7,$K$7)))))/12))^((COLUMN(O21:Z21) - COLUMN(O21))))</f>
        <v>3706858.1386493314</v>
      </c>
      <c r="AB21" s="55">
        <f t="shared" si="5"/>
        <v>198620664.74374622</v>
      </c>
      <c r="AC21" s="51">
        <f t="shared" si="6"/>
        <v>3244200</v>
      </c>
      <c r="AD21" s="35">
        <f t="shared" si="11"/>
        <v>15.785310399389761</v>
      </c>
    </row>
    <row r="22" spans="2:30" x14ac:dyDescent="0.3">
      <c r="B22" s="68" t="s">
        <v>72</v>
      </c>
      <c r="C22" s="53" t="s">
        <v>55</v>
      </c>
      <c r="D22" s="82">
        <f>SUMIF(Process!$F$3:$F$204,Plan!B22,Process!$E$3:$E$204)</f>
        <v>3558522.9389958726</v>
      </c>
      <c r="E22" s="83">
        <f t="shared" si="1"/>
        <v>2.3865500200887177E-4</v>
      </c>
      <c r="F22" s="53" t="s">
        <v>41</v>
      </c>
      <c r="G22" s="108">
        <v>45566</v>
      </c>
      <c r="H22" s="54">
        <v>56523</v>
      </c>
      <c r="I22" s="50">
        <f t="shared" si="2"/>
        <v>360</v>
      </c>
      <c r="J22" s="55">
        <f>100/4*(15000000*12)</f>
        <v>4500000000</v>
      </c>
      <c r="K22" s="51">
        <f>-FV($H$4/12,I22,0,J22,0)</f>
        <v>14910741065.73131</v>
      </c>
      <c r="L22" s="51">
        <f t="shared" si="3"/>
        <v>41418725.182586975</v>
      </c>
      <c r="M22" s="61" t="s">
        <v>60</v>
      </c>
      <c r="N22" s="51">
        <f t="shared" si="4"/>
        <v>4266400</v>
      </c>
      <c r="O22" s="66">
        <f t="shared" si="10"/>
        <v>919055.38274518214</v>
      </c>
      <c r="P22" s="66">
        <f t="shared" si="10"/>
        <v>480501.9843398048</v>
      </c>
      <c r="Q22" s="66">
        <f t="shared" si="10"/>
        <v>99151.203117737488</v>
      </c>
      <c r="R22" s="104">
        <f t="shared" si="10"/>
        <v>99151.203117737488</v>
      </c>
      <c r="S22" s="66">
        <f t="shared" si="10"/>
        <v>291733.34763488144</v>
      </c>
      <c r="T22" s="66">
        <f t="shared" si="10"/>
        <v>446180.41402981873</v>
      </c>
      <c r="U22" s="66">
        <f t="shared" si="10"/>
        <v>427112.87496871536</v>
      </c>
      <c r="V22" s="66">
        <f t="shared" si="10"/>
        <v>221183.45310879903</v>
      </c>
      <c r="W22" s="55">
        <f t="shared" si="10"/>
        <v>713125.96088526584</v>
      </c>
      <c r="X22" s="55">
        <f t="shared" si="10"/>
        <v>789396.1171296793</v>
      </c>
      <c r="Y22" s="55">
        <f t="shared" si="10"/>
        <v>1056341.6639851264</v>
      </c>
      <c r="Z22" s="55">
        <f t="shared" si="10"/>
        <v>457620.93746648071</v>
      </c>
      <c r="AA22" s="55" cm="1">
        <f t="array" ref="AA22">SUMPRODUCT(O22:Z22*(1 +(IF(M22=$J$3,$K$3,IF(M22=$J$4,$K$4,IF(M22=$J$5,$K$5,IF(M22=$J$6,$K$6,IF(M22=$J$7,$K$7)))))/12))^((COLUMN(O22:Z22) - COLUMN(O22))))</f>
        <v>6383684.331449708</v>
      </c>
      <c r="AB22" s="55">
        <f t="shared" si="5"/>
        <v>14904357381.39986</v>
      </c>
      <c r="AC22" s="51">
        <f t="shared" si="6"/>
        <v>4822900</v>
      </c>
      <c r="AD22" s="35">
        <f t="shared" si="11"/>
        <v>27.184325618776327</v>
      </c>
    </row>
    <row r="23" spans="2:30" x14ac:dyDescent="0.3">
      <c r="B23" s="68"/>
      <c r="C23" s="53"/>
      <c r="D23" s="53"/>
      <c r="E23" s="53"/>
      <c r="F23" s="53"/>
      <c r="G23" s="53"/>
      <c r="H23" s="56"/>
      <c r="I23" s="56"/>
      <c r="J23" s="51"/>
      <c r="K23" s="51"/>
      <c r="L23" s="51">
        <f>SUM(L12:L22)</f>
        <v>54072352.912061222</v>
      </c>
      <c r="M23" s="61"/>
      <c r="N23" s="51">
        <f t="shared" ref="N23:AC23" si="12">SUM(N12:N22)</f>
        <v>15096200</v>
      </c>
      <c r="O23" s="67">
        <f t="shared" si="12"/>
        <v>5800000</v>
      </c>
      <c r="P23" s="66">
        <f t="shared" si="12"/>
        <v>3500000</v>
      </c>
      <c r="Q23" s="66">
        <f t="shared" si="12"/>
        <v>2995000</v>
      </c>
      <c r="R23" s="104">
        <f t="shared" si="12"/>
        <v>2995000</v>
      </c>
      <c r="S23" s="66">
        <f t="shared" si="12"/>
        <v>2500000</v>
      </c>
      <c r="T23" s="55">
        <f t="shared" si="12"/>
        <v>2500000</v>
      </c>
      <c r="U23" s="55">
        <f t="shared" si="12"/>
        <v>2600000</v>
      </c>
      <c r="V23" s="55">
        <f t="shared" si="12"/>
        <v>2060000</v>
      </c>
      <c r="W23" s="55">
        <f t="shared" si="12"/>
        <v>3600000</v>
      </c>
      <c r="X23" s="55">
        <f t="shared" si="12"/>
        <v>3200000</v>
      </c>
      <c r="Y23" s="55">
        <f t="shared" si="12"/>
        <v>3900000</v>
      </c>
      <c r="Z23" s="55">
        <f t="shared" si="12"/>
        <v>1200000</v>
      </c>
      <c r="AA23" s="55">
        <f t="shared" si="12"/>
        <v>37543374.694784425</v>
      </c>
      <c r="AB23" s="55">
        <f t="shared" si="12"/>
        <v>15351438941.674385</v>
      </c>
      <c r="AC23" s="55">
        <f t="shared" si="12"/>
        <v>15580400</v>
      </c>
      <c r="AD23" s="35">
        <f t="shared" si="11"/>
        <v>71.284305572056553</v>
      </c>
    </row>
    <row r="24" spans="2:30" x14ac:dyDescent="0.3">
      <c r="O24" s="84">
        <v>5800000</v>
      </c>
      <c r="P24" s="84">
        <v>3500000</v>
      </c>
      <c r="Q24" s="84">
        <v>2995000</v>
      </c>
      <c r="R24" s="84">
        <v>2995000</v>
      </c>
      <c r="S24" s="84">
        <v>2500000</v>
      </c>
      <c r="T24" s="84">
        <v>2500000</v>
      </c>
      <c r="U24" s="84">
        <v>2600000</v>
      </c>
      <c r="V24" s="84">
        <f>'Emergency February'!K45</f>
        <v>2060000</v>
      </c>
      <c r="W24" s="84">
        <f>'Emergency February'!K66</f>
        <v>3600000</v>
      </c>
      <c r="X24" s="84">
        <f>'Emergency February'!K87</f>
        <v>3200000</v>
      </c>
      <c r="Y24" s="84">
        <f>'Emergency February'!K108</f>
        <v>3900000</v>
      </c>
      <c r="Z24" s="84">
        <v>1200000</v>
      </c>
    </row>
    <row r="26" spans="2:30" x14ac:dyDescent="0.3">
      <c r="K26" s="63"/>
      <c r="O26" s="84"/>
      <c r="T26" s="44"/>
      <c r="U26" s="44"/>
    </row>
    <row r="27" spans="2:30" x14ac:dyDescent="0.3">
      <c r="O27" s="84"/>
      <c r="R27" s="84">
        <f>4885000-5000</f>
        <v>4880000</v>
      </c>
      <c r="S27" s="97">
        <f>S19/16370</f>
        <v>12.317459510379903</v>
      </c>
      <c r="T27" s="107">
        <f>T19/SUM($T$19:$T$22)*69.93</f>
        <v>18.431976831492012</v>
      </c>
      <c r="U27" s="92"/>
      <c r="V27" s="92"/>
      <c r="W27" s="97"/>
      <c r="Y27" s="35">
        <f>Y19/2770000*167.24</f>
        <v>44.08070649647825</v>
      </c>
      <c r="Z27" s="35">
        <f>Z19/SUM($Z$19:$Z$22)</f>
        <v>0.26357753226786801</v>
      </c>
      <c r="AA27" s="141">
        <f>Z27*123.19</f>
        <v>32.470116200078657</v>
      </c>
    </row>
    <row r="28" spans="2:30" x14ac:dyDescent="0.3">
      <c r="O28" s="84"/>
      <c r="Q28" s="44">
        <f>R28-466000</f>
        <v>99373.806714576902</v>
      </c>
      <c r="R28" s="84">
        <f>N19/SUM($N$19:$N$22)*($R$27-SUM($R$14:$R$18))</f>
        <v>565373.8067145769</v>
      </c>
      <c r="S28" s="97">
        <f t="shared" ref="S28:S30" si="13">S20/16370</f>
        <v>6.2447782040212809</v>
      </c>
      <c r="T28" s="107">
        <f t="shared" ref="T28:T30" si="14">T20/SUM($T$19:$T$22)*69.93</f>
        <v>9.3447522256784303</v>
      </c>
      <c r="U28" s="44"/>
      <c r="V28" s="44"/>
      <c r="W28" s="97"/>
      <c r="Z28" s="35">
        <f t="shared" ref="Z28:Z30" si="15">Z20/SUM($Z$19:$Z$22)</f>
        <v>0.13363009045729199</v>
      </c>
      <c r="AA28" s="141">
        <f t="shared" ref="AA28:AA30" si="16">Z28*123.19</f>
        <v>16.4618908434338</v>
      </c>
    </row>
    <row r="29" spans="2:30" x14ac:dyDescent="0.3">
      <c r="O29" s="84"/>
      <c r="Q29" s="44">
        <f>R29/(R29+R30)*767592</f>
        <v>288880.78743328969</v>
      </c>
      <c r="R29" s="84">
        <f>N20/SUM($N$19:$N$22)*($R$27-SUM($R$14:$R$18))</f>
        <v>286636.54403089132</v>
      </c>
      <c r="S29" s="97">
        <f t="shared" si="13"/>
        <v>10.348370249259078</v>
      </c>
      <c r="T29" s="107">
        <f t="shared" si="14"/>
        <v>15.485410811970398</v>
      </c>
      <c r="U29" s="44"/>
      <c r="V29" s="44"/>
      <c r="W29" s="97"/>
      <c r="Z29" s="35">
        <f t="shared" si="15"/>
        <v>0.22144159605277269</v>
      </c>
      <c r="AA29" s="141">
        <f t="shared" si="16"/>
        <v>27.279390217741067</v>
      </c>
    </row>
    <row r="30" spans="2:30" x14ac:dyDescent="0.3">
      <c r="Q30" s="44">
        <f>767592-Q29</f>
        <v>478711.21256671031</v>
      </c>
      <c r="R30" s="84">
        <f>N21/SUM($N$19:$N$22)*($R$27-SUM($R$14:$R$18))</f>
        <v>474992.22353319748</v>
      </c>
      <c r="S30" s="97">
        <f t="shared" si="13"/>
        <v>17.821218548251768</v>
      </c>
      <c r="T30" s="107">
        <f t="shared" si="14"/>
        <v>26.667860130859168</v>
      </c>
      <c r="V30" s="44"/>
      <c r="W30" s="97"/>
      <c r="Y30" s="35">
        <f>Y22/2770000*167.24</f>
        <v>63.777104651578533</v>
      </c>
      <c r="Z30" s="35">
        <f t="shared" si="15"/>
        <v>0.38135078122206728</v>
      </c>
      <c r="AA30" s="141">
        <f t="shared" si="16"/>
        <v>46.978602738746467</v>
      </c>
    </row>
    <row r="31" spans="2:30" x14ac:dyDescent="0.3">
      <c r="R31" s="84">
        <f>N22/SUM($N$19:$N$22)*($R$27-SUM($R$14:$R$18))</f>
        <v>817997.42572133429</v>
      </c>
      <c r="S31" s="97"/>
      <c r="T31" s="93"/>
      <c r="V31" s="44"/>
      <c r="W31" s="93"/>
    </row>
    <row r="32" spans="2:30" x14ac:dyDescent="0.3">
      <c r="T32" s="93"/>
      <c r="V32" s="44"/>
      <c r="W32" s="93"/>
    </row>
    <row r="33" spans="19:23" x14ac:dyDescent="0.3">
      <c r="T33" s="93"/>
      <c r="V33" s="44"/>
      <c r="W33" s="93"/>
    </row>
    <row r="34" spans="19:23" x14ac:dyDescent="0.3">
      <c r="T34" s="93"/>
      <c r="V34" s="44"/>
      <c r="W34" s="93"/>
    </row>
    <row r="35" spans="19:23" x14ac:dyDescent="0.3">
      <c r="T35" s="93"/>
      <c r="V35" s="44"/>
      <c r="W35" s="93"/>
    </row>
    <row r="36" spans="19:23" x14ac:dyDescent="0.3">
      <c r="T36" s="93"/>
      <c r="V36" s="44"/>
      <c r="W36" s="93"/>
    </row>
    <row r="37" spans="19:23" x14ac:dyDescent="0.3">
      <c r="S37" s="89"/>
      <c r="T37" s="94"/>
      <c r="V37" s="89"/>
      <c r="W37" s="94"/>
    </row>
  </sheetData>
  <autoFilter ref="C11:AA11" xr:uid="{D849DCAD-D580-4EAF-A334-13039DDA5DE3}"/>
  <phoneticPr fontId="6" type="noConversion"/>
  <conditionalFormatting sqref="B12:AC22">
    <cfRule type="expression" dxfId="0" priority="1">
      <formula>$E12&gt;=0.98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632C-4AC4-4099-8961-7FD02FE32998}">
  <dimension ref="B1:L204"/>
  <sheetViews>
    <sheetView showGridLines="0" workbookViewId="0">
      <pane ySplit="2" topLeftCell="A57" activePane="bottomLeft" state="frozen"/>
      <selection pane="bottomLeft" activeCell="J65" sqref="G65:J66"/>
    </sheetView>
  </sheetViews>
  <sheetFormatPr defaultRowHeight="14" x14ac:dyDescent="0.3"/>
  <cols>
    <col min="2" max="2" width="8.69921875" style="70"/>
    <col min="3" max="3" width="16.3984375" customWidth="1"/>
    <col min="4" max="5" width="15.296875" style="69" customWidth="1"/>
    <col min="6" max="6" width="4.796875" bestFit="1" customWidth="1"/>
    <col min="7" max="7" width="37.8984375" customWidth="1"/>
    <col min="8" max="8" width="15.8984375" customWidth="1"/>
    <col min="11" max="11" width="23.796875" customWidth="1"/>
  </cols>
  <sheetData>
    <row r="1" spans="2:11" x14ac:dyDescent="0.3">
      <c r="D1" s="69">
        <f>SUBTOTAL(9,D3:D204)</f>
        <v>20081436.284202963</v>
      </c>
    </row>
    <row r="2" spans="2:11" s="71" customFormat="1" x14ac:dyDescent="0.3">
      <c r="B2" s="72" t="s">
        <v>82</v>
      </c>
      <c r="C2" s="72" t="s">
        <v>30</v>
      </c>
      <c r="D2" s="73" t="s">
        <v>32</v>
      </c>
      <c r="E2" s="73" t="s">
        <v>108</v>
      </c>
      <c r="F2" s="72" t="s">
        <v>85</v>
      </c>
      <c r="G2" s="72" t="s">
        <v>103</v>
      </c>
      <c r="H2" s="72" t="s">
        <v>83</v>
      </c>
      <c r="I2" s="72" t="s">
        <v>84</v>
      </c>
      <c r="J2" s="72" t="s">
        <v>87</v>
      </c>
      <c r="K2" s="72" t="s">
        <v>110</v>
      </c>
    </row>
    <row r="3" spans="2:11" x14ac:dyDescent="0.3">
      <c r="B3" s="74">
        <v>45566</v>
      </c>
      <c r="C3" s="75">
        <v>45581</v>
      </c>
      <c r="D3" s="76">
        <v>880000</v>
      </c>
      <c r="E3" s="76">
        <f>-FV(Plan!$H$4/12,-((MONTH(Plan!$E$10)-MONTH(Process!B3))+((YEAR(Plan!$E$10)-YEAR(Process!B3))*12)),0,Process!D3)</f>
        <v>859737.72931528068</v>
      </c>
      <c r="F3" s="77" t="s">
        <v>77</v>
      </c>
      <c r="G3" s="77" t="str">
        <f>VLOOKUP(F3,Plan!$B$12:$C$22,2)</f>
        <v>Dana Darurat</v>
      </c>
      <c r="H3" s="77" t="s">
        <v>58</v>
      </c>
      <c r="I3" s="77" t="s">
        <v>86</v>
      </c>
      <c r="J3" s="77" t="s">
        <v>91</v>
      </c>
      <c r="K3" s="77"/>
    </row>
    <row r="4" spans="2:11" x14ac:dyDescent="0.3">
      <c r="B4" s="74">
        <v>45566</v>
      </c>
      <c r="C4" s="75">
        <v>45581</v>
      </c>
      <c r="D4" s="76">
        <v>400000</v>
      </c>
      <c r="E4" s="76">
        <f>-FV(Plan!$H$4/12,-((MONTH(Plan!$E$10)-MONTH(Process!B4))+((YEAR(Plan!$E$10)-YEAR(Process!B4))*12)),0,Process!D4)</f>
        <v>390789.87696149119</v>
      </c>
      <c r="F4" s="77" t="s">
        <v>73</v>
      </c>
      <c r="G4" s="77" t="str">
        <f>VLOOKUP(F4,Plan!$B$12:$C$22,2)</f>
        <v>Balik Tegal</v>
      </c>
      <c r="H4" s="77" t="s">
        <v>59</v>
      </c>
      <c r="I4" s="77" t="s">
        <v>86</v>
      </c>
      <c r="J4" s="77" t="s">
        <v>92</v>
      </c>
      <c r="K4" s="77"/>
    </row>
    <row r="5" spans="2:11" x14ac:dyDescent="0.3">
      <c r="B5" s="74">
        <v>45566</v>
      </c>
      <c r="C5" s="75">
        <v>45581</v>
      </c>
      <c r="D5" s="76">
        <v>505000</v>
      </c>
      <c r="E5" s="76">
        <f>-FV(Plan!$H$4/12,-((MONTH(Plan!$E$10)-MONTH(Process!B5))+((YEAR(Plan!$E$10)-YEAR(Process!B5))*12)),0,Process!D5)</f>
        <v>493372.21966388263</v>
      </c>
      <c r="F5" s="77" t="s">
        <v>74</v>
      </c>
      <c r="G5" s="77" t="str">
        <f>VLOOKUP(F5,Plan!$B$12:$C$22,2)</f>
        <v>Wisuda (Fotografer, makeup, outfit, tiket bolak balik)</v>
      </c>
      <c r="H5" s="77" t="s">
        <v>59</v>
      </c>
      <c r="I5" s="77" t="s">
        <v>86</v>
      </c>
      <c r="J5" s="77" t="s">
        <v>92</v>
      </c>
      <c r="K5" s="77"/>
    </row>
    <row r="6" spans="2:11" x14ac:dyDescent="0.3">
      <c r="B6" s="74">
        <v>45566</v>
      </c>
      <c r="C6" s="75">
        <v>45581</v>
      </c>
      <c r="D6" s="76">
        <v>405000</v>
      </c>
      <c r="E6" s="76">
        <f>-FV(Plan!$H$4/12,-((MONTH(Plan!$E$10)-MONTH(Process!B6))+((YEAR(Plan!$E$10)-YEAR(Process!B6))*12)),0,Process!D6)</f>
        <v>395674.75042350986</v>
      </c>
      <c r="F6" s="77" t="s">
        <v>75</v>
      </c>
      <c r="G6" s="77" t="str">
        <f>VLOOKUP(F6,Plan!$B$12:$C$22,2)</f>
        <v>Upgrade outfit kerja</v>
      </c>
      <c r="H6" s="77" t="s">
        <v>68</v>
      </c>
      <c r="I6" s="77" t="s">
        <v>86</v>
      </c>
      <c r="J6" s="77" t="s">
        <v>93</v>
      </c>
      <c r="K6" s="77"/>
    </row>
    <row r="7" spans="2:11" x14ac:dyDescent="0.3">
      <c r="B7" s="74">
        <v>45566</v>
      </c>
      <c r="C7" s="75">
        <v>45581</v>
      </c>
      <c r="D7" s="76">
        <v>450000</v>
      </c>
      <c r="E7" s="76">
        <f>-FV(Plan!$H$4/12,-((MONTH(Plan!$E$10)-MONTH(Process!B7))+((YEAR(Plan!$E$10)-YEAR(Process!B7))*12)),0,Process!D7)</f>
        <v>439638.61158167763</v>
      </c>
      <c r="F7" s="77" t="s">
        <v>76</v>
      </c>
      <c r="G7" s="77" t="str">
        <f>VLOOKUP(F7,Plan!$B$12:$C$22,2)</f>
        <v>Self Reward (Upgrade HP / Liburan)</v>
      </c>
      <c r="H7" s="77" t="s">
        <v>59</v>
      </c>
      <c r="I7" s="77" t="s">
        <v>86</v>
      </c>
      <c r="J7" s="77" t="s">
        <v>92</v>
      </c>
      <c r="K7" s="77"/>
    </row>
    <row r="8" spans="2:11" x14ac:dyDescent="0.3">
      <c r="B8" s="74">
        <v>45566</v>
      </c>
      <c r="C8" s="75">
        <v>45581</v>
      </c>
      <c r="D8" s="76">
        <v>760000</v>
      </c>
      <c r="E8" s="76">
        <f>-FV(Plan!$H$4/12,-((MONTH(Plan!$E$10)-MONTH(Process!B8))+((YEAR(Plan!$E$10)-YEAR(Process!B8))*12)),0,Process!D8)</f>
        <v>742500.76622683334</v>
      </c>
      <c r="F8" s="77" t="s">
        <v>78</v>
      </c>
      <c r="G8" s="77" t="str">
        <f>VLOOKUP(F8,Plan!$B$12:$C$22,2)</f>
        <v>Mobil</v>
      </c>
      <c r="H8" s="77" t="s">
        <v>60</v>
      </c>
      <c r="I8" s="77" t="s">
        <v>86</v>
      </c>
      <c r="J8" s="77" t="s">
        <v>94</v>
      </c>
      <c r="K8" s="77"/>
    </row>
    <row r="9" spans="2:11" x14ac:dyDescent="0.3">
      <c r="B9" s="74">
        <v>45566</v>
      </c>
      <c r="C9" s="75">
        <v>45581</v>
      </c>
      <c r="D9" s="76">
        <v>380000</v>
      </c>
      <c r="E9" s="76">
        <f>-FV(Plan!$H$4/12,-((MONTH(Plan!$E$10)-MONTH(Process!B9))+((YEAR(Plan!$E$10)-YEAR(Process!B9))*12)),0,Process!D9)</f>
        <v>371250.38311341667</v>
      </c>
      <c r="F9" s="77" t="s">
        <v>79</v>
      </c>
      <c r="G9" s="77" t="str">
        <f>VLOOKUP(F9,Plan!$B$12:$C$22,2)</f>
        <v>Menikah</v>
      </c>
      <c r="H9" s="77" t="s">
        <v>60</v>
      </c>
      <c r="I9" s="77" t="s">
        <v>86</v>
      </c>
      <c r="J9" s="77" t="s">
        <v>94</v>
      </c>
      <c r="K9" s="77"/>
    </row>
    <row r="10" spans="2:11" x14ac:dyDescent="0.3">
      <c r="B10" s="74">
        <v>45566</v>
      </c>
      <c r="C10" s="75">
        <v>45581</v>
      </c>
      <c r="D10" s="76">
        <v>630000</v>
      </c>
      <c r="E10" s="76">
        <f>-FV(Plan!$H$4/12,-((MONTH(Plan!$E$10)-MONTH(Process!B10))+((YEAR(Plan!$E$10)-YEAR(Process!B10))*12)),0,Process!D10)</f>
        <v>615494.05621434865</v>
      </c>
      <c r="F10" s="77" t="s">
        <v>80</v>
      </c>
      <c r="G10" s="77" t="str">
        <f>VLOOKUP(F10,Plan!$B$12:$C$22,2)</f>
        <v>KPR Rumah</v>
      </c>
      <c r="H10" s="77" t="s">
        <v>60</v>
      </c>
      <c r="I10" s="77" t="s">
        <v>86</v>
      </c>
      <c r="J10" s="77" t="s">
        <v>94</v>
      </c>
      <c r="K10" s="77"/>
    </row>
    <row r="11" spans="2:11" x14ac:dyDescent="0.3">
      <c r="B11" s="74">
        <v>45566</v>
      </c>
      <c r="C11" s="75">
        <v>45581</v>
      </c>
      <c r="D11" s="76">
        <v>640000</v>
      </c>
      <c r="E11" s="76">
        <f>-FV(Plan!$H$4/12,-((MONTH(Plan!$E$10)-MONTH(Process!B11))+((YEAR(Plan!$E$10)-YEAR(Process!B11))*12)),0,Process!D11)</f>
        <v>625263.80313838599</v>
      </c>
      <c r="F11" s="77" t="s">
        <v>72</v>
      </c>
      <c r="G11" s="77" t="str">
        <f>VLOOKUP(F11,Plan!$B$12:$C$22,2)</f>
        <v>Dana Pensiun</v>
      </c>
      <c r="H11" s="77" t="s">
        <v>60</v>
      </c>
      <c r="I11" s="77" t="s">
        <v>86</v>
      </c>
      <c r="J11" s="77" t="s">
        <v>94</v>
      </c>
      <c r="K11" s="77"/>
    </row>
    <row r="12" spans="2:11" x14ac:dyDescent="0.3">
      <c r="B12" s="74">
        <v>45566</v>
      </c>
      <c r="C12" s="75">
        <v>45581</v>
      </c>
      <c r="D12" s="76">
        <v>750000</v>
      </c>
      <c r="E12" s="76">
        <f>-FV(Plan!$H$4/12,-((MONTH(Plan!$E$10)-MONTH(Process!B12))+((YEAR(Plan!$E$10)-YEAR(Process!B12))*12)),0,Process!D12)</f>
        <v>732731.01930279599</v>
      </c>
      <c r="F12" s="77" t="s">
        <v>71</v>
      </c>
      <c r="G12" s="77" t="str">
        <f>VLOOKUP(F12,Plan!$B$12:$C$22,2)</f>
        <v>Pindahan di Jogja</v>
      </c>
      <c r="H12" s="77" t="s">
        <v>56</v>
      </c>
      <c r="I12" s="77" t="s">
        <v>104</v>
      </c>
      <c r="J12" s="77" t="s">
        <v>105</v>
      </c>
      <c r="K12" s="77"/>
    </row>
    <row r="13" spans="2:11" x14ac:dyDescent="0.3">
      <c r="B13" s="74">
        <v>45566</v>
      </c>
      <c r="C13" s="75">
        <v>45595</v>
      </c>
      <c r="D13" s="76">
        <v>-750000</v>
      </c>
      <c r="E13" s="76">
        <f>-FV(Plan!$H$4/12,-((MONTH(Plan!$E$10)-MONTH(Process!B13))+((YEAR(Plan!$E$10)-YEAR(Process!B13))*12)),0,Process!D13)</f>
        <v>-732731.01930279599</v>
      </c>
      <c r="F13" s="77" t="s">
        <v>71</v>
      </c>
      <c r="G13" s="77" t="str">
        <f>VLOOKUP(F13,Plan!$B$12:$C$22,2)</f>
        <v>Pindahan di Jogja</v>
      </c>
      <c r="H13" s="77" t="s">
        <v>56</v>
      </c>
      <c r="I13" s="77" t="s">
        <v>104</v>
      </c>
      <c r="J13" s="77" t="s">
        <v>105</v>
      </c>
      <c r="K13" s="77"/>
    </row>
    <row r="14" spans="2:11" x14ac:dyDescent="0.3">
      <c r="B14" s="74">
        <v>45597</v>
      </c>
      <c r="C14" s="75">
        <v>45598</v>
      </c>
      <c r="D14" s="76">
        <v>880000</v>
      </c>
      <c r="E14" s="76">
        <f>-FV(Plan!$H$4/12,-((MONTH(Plan!$E$10)-MONTH(Process!B14))+((YEAR(Plan!$E$10)-YEAR(Process!B14))*12)),0,Process!D14)</f>
        <v>862603.52174633183</v>
      </c>
      <c r="F14" s="77" t="s">
        <v>77</v>
      </c>
      <c r="G14" s="77" t="str">
        <f>VLOOKUP(F14,Plan!$B$12:$C$22,2)</f>
        <v>Dana Darurat</v>
      </c>
      <c r="H14" s="77" t="s">
        <v>58</v>
      </c>
      <c r="I14" s="77" t="s">
        <v>86</v>
      </c>
      <c r="J14" s="77" t="s">
        <v>91</v>
      </c>
      <c r="K14" s="77"/>
    </row>
    <row r="15" spans="2:11" x14ac:dyDescent="0.3">
      <c r="B15" s="74">
        <v>45597</v>
      </c>
      <c r="C15" s="75">
        <v>45598</v>
      </c>
      <c r="D15" s="76">
        <v>505000</v>
      </c>
      <c r="E15" s="76">
        <f>-FV(Plan!$H$4/12,-((MONTH(Plan!$E$10)-MONTH(Process!B15))+((YEAR(Plan!$E$10)-YEAR(Process!B15))*12)),0,Process!D15)</f>
        <v>495016.79372942908</v>
      </c>
      <c r="F15" s="77" t="s">
        <v>74</v>
      </c>
      <c r="G15" s="77" t="str">
        <f>VLOOKUP(F15,Plan!$B$12:$C$22,2)</f>
        <v>Wisuda (Fotografer, makeup, outfit, tiket bolak balik)</v>
      </c>
      <c r="H15" s="77" t="s">
        <v>59</v>
      </c>
      <c r="I15" s="77" t="s">
        <v>86</v>
      </c>
      <c r="J15" s="77" t="s">
        <v>92</v>
      </c>
      <c r="K15" s="77"/>
    </row>
    <row r="16" spans="2:11" x14ac:dyDescent="0.3">
      <c r="B16" s="74">
        <v>45597</v>
      </c>
      <c r="C16" s="75">
        <v>45598</v>
      </c>
      <c r="D16" s="76">
        <v>405000</v>
      </c>
      <c r="E16" s="76">
        <f>-FV(Plan!$H$4/12,-((MONTH(Plan!$E$10)-MONTH(Process!B16))+((YEAR(Plan!$E$10)-YEAR(Process!B16))*12)),0,Process!D16)</f>
        <v>396993.66625825502</v>
      </c>
      <c r="F16" s="77" t="s">
        <v>75</v>
      </c>
      <c r="G16" s="77" t="str">
        <f>VLOOKUP(F16,Plan!$B$12:$C$22,2)</f>
        <v>Upgrade outfit kerja</v>
      </c>
      <c r="H16" s="77" t="s">
        <v>68</v>
      </c>
      <c r="I16" s="77" t="s">
        <v>86</v>
      </c>
      <c r="J16" s="77" t="s">
        <v>93</v>
      </c>
      <c r="K16" s="77"/>
    </row>
    <row r="17" spans="2:11" x14ac:dyDescent="0.3">
      <c r="B17" s="74">
        <v>45597</v>
      </c>
      <c r="C17" s="75">
        <v>45598</v>
      </c>
      <c r="D17" s="76">
        <v>450000</v>
      </c>
      <c r="E17" s="76">
        <f>-FV(Plan!$H$4/12,-((MONTH(Plan!$E$10)-MONTH(Process!B17))+((YEAR(Plan!$E$10)-YEAR(Process!B17))*12)),0,Process!D17)</f>
        <v>441104.07362028334</v>
      </c>
      <c r="F17" s="77" t="s">
        <v>76</v>
      </c>
      <c r="G17" s="77" t="str">
        <f>VLOOKUP(F17,Plan!$B$12:$C$22,2)</f>
        <v>Self Reward (Upgrade HP / Liburan)</v>
      </c>
      <c r="H17" s="77" t="s">
        <v>59</v>
      </c>
      <c r="I17" s="77" t="s">
        <v>86</v>
      </c>
      <c r="J17" s="77" t="s">
        <v>92</v>
      </c>
      <c r="K17" s="77"/>
    </row>
    <row r="18" spans="2:11" x14ac:dyDescent="0.3">
      <c r="B18" s="74">
        <v>45597</v>
      </c>
      <c r="C18" s="75">
        <v>45611</v>
      </c>
      <c r="D18" s="76">
        <f>1260000*Plan!K20/(Plan!$K$20+Plan!$K$21)</f>
        <v>474206.78426858247</v>
      </c>
      <c r="E18" s="76">
        <f>-FV(Plan!$H$4/12,-((MONTH(Plan!$E$10)-MONTH(Process!B18))+((YEAR(Plan!$E$10)-YEAR(Process!B18))*12)),0,Process!D18)</f>
        <v>464832.32062054804</v>
      </c>
      <c r="F18" s="77" t="s">
        <v>79</v>
      </c>
      <c r="G18" s="77" t="str">
        <f>VLOOKUP(F18,Plan!$B$12:$C$22,2)</f>
        <v>Menikah</v>
      </c>
      <c r="H18" s="77" t="s">
        <v>88</v>
      </c>
      <c r="I18" s="77" t="s">
        <v>90</v>
      </c>
      <c r="J18" s="77" t="s">
        <v>89</v>
      </c>
      <c r="K18" s="77"/>
    </row>
    <row r="19" spans="2:11" x14ac:dyDescent="0.3">
      <c r="B19" s="74">
        <v>45597</v>
      </c>
      <c r="C19" s="75">
        <v>45611</v>
      </c>
      <c r="D19" s="76">
        <f>1260000*Plan!K21/(Plan!$K$20+Plan!$K$21)</f>
        <v>785793.21573141753</v>
      </c>
      <c r="E19" s="76">
        <f>-FV(Plan!$H$4/12,-((MONTH(Plan!$E$10)-MONTH(Process!B19))+((YEAR(Plan!$E$10)-YEAR(Process!B19))*12)),0,Process!D19)</f>
        <v>770259.08551624534</v>
      </c>
      <c r="F19" s="77" t="s">
        <v>80</v>
      </c>
      <c r="G19" s="77" t="str">
        <f>VLOOKUP(F19,Plan!$B$12:$C$22,2)</f>
        <v>KPR Rumah</v>
      </c>
      <c r="H19" s="77" t="s">
        <v>88</v>
      </c>
      <c r="I19" s="77" t="s">
        <v>90</v>
      </c>
      <c r="J19" s="77" t="s">
        <v>89</v>
      </c>
      <c r="K19" s="77"/>
    </row>
    <row r="20" spans="2:11" x14ac:dyDescent="0.3">
      <c r="B20" s="74">
        <v>45597</v>
      </c>
      <c r="C20" s="75">
        <v>45611</v>
      </c>
      <c r="D20" s="76">
        <v>5000</v>
      </c>
      <c r="E20" s="76">
        <f>-FV(Plan!$H$4/12,-((MONTH(Plan!$E$10)-MONTH(Process!B20))+((YEAR(Plan!$E$10)-YEAR(Process!B20))*12)),0,Process!D20)</f>
        <v>4901.1563735587042</v>
      </c>
      <c r="F20" s="77" t="s">
        <v>72</v>
      </c>
      <c r="G20" s="77" t="str">
        <f>VLOOKUP(F20,Plan!$B$12:$C$22,2)</f>
        <v>Dana Pensiun</v>
      </c>
      <c r="H20" s="77" t="s">
        <v>95</v>
      </c>
      <c r="I20" s="77" t="s">
        <v>90</v>
      </c>
      <c r="J20" s="77" t="s">
        <v>96</v>
      </c>
      <c r="K20" s="77"/>
    </row>
    <row r="21" spans="2:11" x14ac:dyDescent="0.3">
      <c r="B21" s="74">
        <v>45597</v>
      </c>
      <c r="C21" s="75">
        <v>45623</v>
      </c>
      <c r="D21" s="76">
        <f>-D9</f>
        <v>-380000</v>
      </c>
      <c r="E21" s="76">
        <v>-381267</v>
      </c>
      <c r="F21" s="77" t="s">
        <v>79</v>
      </c>
      <c r="G21" s="77" t="str">
        <f>VLOOKUP(F21,Plan!$B$12:$C$22,2)</f>
        <v>Menikah</v>
      </c>
      <c r="H21" s="77" t="s">
        <v>60</v>
      </c>
      <c r="I21" s="77" t="s">
        <v>86</v>
      </c>
      <c r="J21" s="77" t="s">
        <v>94</v>
      </c>
      <c r="K21" s="77" t="s">
        <v>111</v>
      </c>
    </row>
    <row r="22" spans="2:11" x14ac:dyDescent="0.3">
      <c r="B22" s="74">
        <v>45597</v>
      </c>
      <c r="C22" s="75">
        <v>45623</v>
      </c>
      <c r="D22" s="76">
        <f>-202/362*D21</f>
        <v>212044.19889502763</v>
      </c>
      <c r="E22" s="76">
        <v>212751</v>
      </c>
      <c r="F22" s="77" t="s">
        <v>78</v>
      </c>
      <c r="G22" s="77" t="str">
        <f>VLOOKUP(F22,Plan!$B$12:$C$22,2)</f>
        <v>Mobil</v>
      </c>
      <c r="H22" s="77" t="s">
        <v>60</v>
      </c>
      <c r="I22" s="77" t="s">
        <v>86</v>
      </c>
      <c r="J22" s="77" t="s">
        <v>94</v>
      </c>
      <c r="K22" s="77" t="s">
        <v>112</v>
      </c>
    </row>
    <row r="23" spans="2:11" x14ac:dyDescent="0.3">
      <c r="B23" s="74">
        <v>45597</v>
      </c>
      <c r="C23" s="75">
        <v>45623</v>
      </c>
      <c r="D23" s="76">
        <f>-160/362*D21</f>
        <v>167955.80110497237</v>
      </c>
      <c r="E23" s="76">
        <v>168516</v>
      </c>
      <c r="F23" s="77" t="s">
        <v>72</v>
      </c>
      <c r="G23" s="77" t="str">
        <f>VLOOKUP(F23,Plan!$B$12:$C$22,2)</f>
        <v>Dana Pensiun</v>
      </c>
      <c r="H23" s="77" t="s">
        <v>60</v>
      </c>
      <c r="I23" s="77" t="s">
        <v>86</v>
      </c>
      <c r="J23" s="77" t="s">
        <v>94</v>
      </c>
      <c r="K23" s="77" t="s">
        <v>112</v>
      </c>
    </row>
    <row r="24" spans="2:11" x14ac:dyDescent="0.3">
      <c r="B24" s="74">
        <v>45597</v>
      </c>
      <c r="C24" s="75">
        <v>45623</v>
      </c>
      <c r="D24" s="76">
        <f>-D10</f>
        <v>-630000</v>
      </c>
      <c r="E24" s="76">
        <v>-632100</v>
      </c>
      <c r="F24" s="77" t="s">
        <v>80</v>
      </c>
      <c r="G24" s="77" t="str">
        <f>VLOOKUP(F24,Plan!$B$12:$C$22,2)</f>
        <v>KPR Rumah</v>
      </c>
      <c r="H24" s="77" t="s">
        <v>60</v>
      </c>
      <c r="I24" s="77" t="s">
        <v>86</v>
      </c>
      <c r="J24" s="77" t="s">
        <v>94</v>
      </c>
      <c r="K24" s="77" t="s">
        <v>114</v>
      </c>
    </row>
    <row r="25" spans="2:11" x14ac:dyDescent="0.3">
      <c r="B25" s="74">
        <v>45597</v>
      </c>
      <c r="C25" s="75">
        <v>45623</v>
      </c>
      <c r="D25" s="76">
        <f>-D24</f>
        <v>630000</v>
      </c>
      <c r="E25" s="76">
        <v>632100</v>
      </c>
      <c r="F25" s="77" t="s">
        <v>72</v>
      </c>
      <c r="G25" s="77" t="str">
        <f>VLOOKUP(F25,Plan!$B$12:$C$22,2)</f>
        <v>Dana Pensiun</v>
      </c>
      <c r="H25" s="77" t="s">
        <v>60</v>
      </c>
      <c r="I25" s="77" t="s">
        <v>86</v>
      </c>
      <c r="J25" s="77" t="s">
        <v>94</v>
      </c>
      <c r="K25" s="77" t="s">
        <v>113</v>
      </c>
    </row>
    <row r="26" spans="2:11" x14ac:dyDescent="0.3">
      <c r="B26" s="74">
        <v>45627</v>
      </c>
      <c r="C26" s="75">
        <v>45624</v>
      </c>
      <c r="D26" s="76">
        <v>450000</v>
      </c>
      <c r="E26" s="76">
        <f>-FV(Plan!$H$4/12,-((MONTH(Plan!$E$10)-MONTH(Process!B26))+((YEAR(Plan!$E$10)-YEAR(Process!B26))*12)),0,Process!D26)</f>
        <v>442574.42053235101</v>
      </c>
      <c r="F26" s="77" t="s">
        <v>76</v>
      </c>
      <c r="G26" s="77" t="str">
        <f>VLOOKUP(F26,Plan!$B$12:$C$22,2)</f>
        <v>Self Reward (Upgrade HP / Liburan)</v>
      </c>
      <c r="H26" s="77" t="s">
        <v>59</v>
      </c>
      <c r="I26" s="77" t="s">
        <v>86</v>
      </c>
      <c r="J26" s="77" t="s">
        <v>115</v>
      </c>
      <c r="K26" s="77"/>
    </row>
    <row r="27" spans="2:11" x14ac:dyDescent="0.3">
      <c r="B27" s="74">
        <v>45627</v>
      </c>
      <c r="C27" s="75">
        <v>45624</v>
      </c>
      <c r="D27" s="76">
        <v>405000</v>
      </c>
      <c r="E27" s="76">
        <f>-FV(Plan!$H$4/12,-((MONTH(Plan!$E$10)-MONTH(Process!B27))+((YEAR(Plan!$E$10)-YEAR(Process!B27))*12)),0,Process!D27)</f>
        <v>398316.97847911587</v>
      </c>
      <c r="F27" s="77" t="s">
        <v>75</v>
      </c>
      <c r="G27" s="77" t="str">
        <f>VLOOKUP(F27,Plan!$B$12:$C$22,2)</f>
        <v>Upgrade outfit kerja</v>
      </c>
      <c r="H27" s="77" t="s">
        <v>68</v>
      </c>
      <c r="I27" s="77" t="s">
        <v>86</v>
      </c>
      <c r="J27" s="77" t="s">
        <v>93</v>
      </c>
      <c r="K27" s="77"/>
    </row>
    <row r="28" spans="2:11" x14ac:dyDescent="0.3">
      <c r="B28" s="74">
        <v>45627</v>
      </c>
      <c r="C28" s="75">
        <v>45624</v>
      </c>
      <c r="D28" s="76">
        <v>1000000</v>
      </c>
      <c r="E28" s="76">
        <f>-FV(Plan!$H$4/12,-((MONTH(Plan!$E$10)-MONTH(Process!B28))+((YEAR(Plan!$E$10)-YEAR(Process!B28))*12)),0,Process!D28)</f>
        <v>983498.71229411336</v>
      </c>
      <c r="F28" s="77" t="s">
        <v>74</v>
      </c>
      <c r="G28" s="77" t="str">
        <f>VLOOKUP(F28,Plan!$B$12:$C$22,2)</f>
        <v>Wisuda (Fotografer, makeup, outfit, tiket bolak balik)</v>
      </c>
      <c r="H28" s="77" t="s">
        <v>59</v>
      </c>
      <c r="I28" s="77" t="s">
        <v>86</v>
      </c>
      <c r="J28" s="77" t="s">
        <v>115</v>
      </c>
      <c r="K28" s="77"/>
    </row>
    <row r="29" spans="2:11" x14ac:dyDescent="0.3">
      <c r="B29" s="74">
        <v>45627</v>
      </c>
      <c r="C29" s="75">
        <v>45624</v>
      </c>
      <c r="D29" s="76">
        <v>880000</v>
      </c>
      <c r="E29" s="76">
        <f>-FV(Plan!$H$4/12,-((MONTH(Plan!$E$10)-MONTH(Process!B29))+((YEAR(Plan!$E$10)-YEAR(Process!B29))*12)),0,Process!D29)</f>
        <v>865478.86681881978</v>
      </c>
      <c r="F29" s="77" t="s">
        <v>77</v>
      </c>
      <c r="G29" s="77" t="str">
        <f>VLOOKUP(F29,Plan!$B$12:$C$22,2)</f>
        <v>Dana Darurat</v>
      </c>
      <c r="H29" s="77" t="s">
        <v>58</v>
      </c>
      <c r="I29" s="77" t="s">
        <v>86</v>
      </c>
      <c r="J29" s="77" t="s">
        <v>91</v>
      </c>
      <c r="K29" s="77"/>
    </row>
    <row r="30" spans="2:11" x14ac:dyDescent="0.3">
      <c r="B30" s="74">
        <v>45627</v>
      </c>
      <c r="C30" s="75">
        <v>45624</v>
      </c>
      <c r="D30" s="76">
        <v>555000</v>
      </c>
      <c r="E30" s="76">
        <f>-FV(Plan!$H$4/12,-((MONTH(Plan!$E$10)-MONTH(Process!B30))+((YEAR(Plan!$E$10)-YEAR(Process!B30))*12)),0,Process!D30)</f>
        <v>545841.78532323288</v>
      </c>
      <c r="F30" s="77" t="s">
        <v>78</v>
      </c>
      <c r="G30" s="77" t="str">
        <f>VLOOKUP(F30,Plan!$B$12:$C$22,2)</f>
        <v>Mobil</v>
      </c>
      <c r="H30" s="77" t="s">
        <v>88</v>
      </c>
      <c r="I30" s="77" t="s">
        <v>116</v>
      </c>
      <c r="J30" s="77" t="s">
        <v>117</v>
      </c>
      <c r="K30" s="77"/>
    </row>
    <row r="31" spans="2:11" x14ac:dyDescent="0.3">
      <c r="B31" s="74">
        <v>45627</v>
      </c>
      <c r="C31" s="75">
        <v>45624</v>
      </c>
      <c r="D31" s="76">
        <f>(654127+17389)*Plan!K20/(Plan!$K$20+Plan!$K$21)</f>
        <v>252728.12932135037</v>
      </c>
      <c r="E31" s="76">
        <f>-FV(Plan!$H$4/12,-((MONTH(Plan!$E$10)-MONTH(Process!B31))+((YEAR(Plan!$E$10)-YEAR(Process!B31))*12)),0,Process!D31)</f>
        <v>248557.78974804824</v>
      </c>
      <c r="F31" s="77" t="s">
        <v>79</v>
      </c>
      <c r="G31" s="77" t="str">
        <f>VLOOKUP(F31,Plan!$B$12:$C$22,2)</f>
        <v>Menikah</v>
      </c>
      <c r="H31" s="77" t="s">
        <v>88</v>
      </c>
      <c r="I31" s="77" t="s">
        <v>90</v>
      </c>
      <c r="J31" s="77" t="s">
        <v>89</v>
      </c>
      <c r="K31" s="77"/>
    </row>
    <row r="32" spans="2:11" x14ac:dyDescent="0.3">
      <c r="B32" s="74">
        <v>45627</v>
      </c>
      <c r="C32" s="75">
        <v>45624</v>
      </c>
      <c r="D32" s="76">
        <f>(654127+17389)*Plan!K21/(Plan!$K$20+Plan!$K$21)</f>
        <v>418787.87067864969</v>
      </c>
      <c r="E32" s="76">
        <f>-FV(Plan!$H$4/12,-((MONTH(Plan!$E$10)-MONTH(Process!B32))+((YEAR(Plan!$E$10)-YEAR(Process!B32))*12)),0,Process!D32)</f>
        <v>411877.33153684565</v>
      </c>
      <c r="F32" s="77" t="s">
        <v>80</v>
      </c>
      <c r="G32" s="77" t="str">
        <f>VLOOKUP(F32,Plan!$B$12:$C$22,2)</f>
        <v>KPR Rumah</v>
      </c>
      <c r="H32" s="77" t="s">
        <v>88</v>
      </c>
      <c r="I32" s="77" t="s">
        <v>90</v>
      </c>
      <c r="J32" s="77" t="s">
        <v>89</v>
      </c>
      <c r="K32" s="77"/>
    </row>
    <row r="33" spans="2:12" x14ac:dyDescent="0.3">
      <c r="B33" s="74">
        <v>45627</v>
      </c>
      <c r="C33" s="75">
        <v>45624</v>
      </c>
      <c r="D33" s="76">
        <v>570000</v>
      </c>
      <c r="E33" s="76">
        <f>-FV(Plan!$H$4/12,-((MONTH(Plan!$E$10)-MONTH(Process!B33))+((YEAR(Plan!$E$10)-YEAR(Process!B33))*12)),0,Process!D33)</f>
        <v>560594.26600764459</v>
      </c>
      <c r="F33" s="77" t="s">
        <v>72</v>
      </c>
      <c r="G33" s="77" t="str">
        <f>VLOOKUP(F33,Plan!$B$12:$C$22,2)</f>
        <v>Dana Pensiun</v>
      </c>
      <c r="H33" s="77" t="s">
        <v>88</v>
      </c>
      <c r="I33" s="77" t="s">
        <v>90</v>
      </c>
      <c r="J33" s="77" t="s">
        <v>128</v>
      </c>
      <c r="K33" s="77"/>
    </row>
    <row r="34" spans="2:12" x14ac:dyDescent="0.3">
      <c r="B34" s="74">
        <v>45627</v>
      </c>
      <c r="C34" s="75">
        <v>45629</v>
      </c>
      <c r="D34" s="76">
        <v>-402671</v>
      </c>
      <c r="E34" s="76">
        <f>-FV(Plan!$H$4/12,-((MONTH(Plan!$E$10)-MONTH(Process!B34))+((YEAR(Plan!$E$10)-YEAR(Process!B34))*12)),0,Process!D34)</f>
        <v>-396026.40997818293</v>
      </c>
      <c r="F34" s="77" t="s">
        <v>73</v>
      </c>
      <c r="G34" s="77" t="str">
        <f>VLOOKUP(F34,Plan!$B$12:$C$22,2)</f>
        <v>Balik Tegal</v>
      </c>
      <c r="H34" s="77" t="s">
        <v>59</v>
      </c>
      <c r="I34" s="77" t="s">
        <v>86</v>
      </c>
      <c r="J34" s="77" t="s">
        <v>115</v>
      </c>
      <c r="K34" s="77" t="s">
        <v>119</v>
      </c>
    </row>
    <row r="35" spans="2:12" x14ac:dyDescent="0.3">
      <c r="B35" s="74">
        <v>45658</v>
      </c>
      <c r="C35" s="75">
        <v>45659</v>
      </c>
      <c r="D35" s="76">
        <v>1000000</v>
      </c>
      <c r="E35" s="76">
        <f>-FV(Plan!$H$4/12,-((MONTH(Plan!$E$10)-MONTH(Process!B35))+((YEAR(Plan!$E$10)-YEAR(Process!B35))*12)),0,Process!D35)</f>
        <v>986777.04133509379</v>
      </c>
      <c r="F35" s="77" t="s">
        <v>74</v>
      </c>
      <c r="G35" s="77" t="str">
        <f>VLOOKUP(F35,Plan!$B$12:$C$22,2)</f>
        <v>Wisuda (Fotografer, makeup, outfit, tiket bolak balik)</v>
      </c>
      <c r="H35" s="77" t="s">
        <v>59</v>
      </c>
      <c r="I35" s="77" t="s">
        <v>86</v>
      </c>
      <c r="J35" s="77" t="s">
        <v>115</v>
      </c>
      <c r="K35" s="77"/>
    </row>
    <row r="36" spans="2:12" x14ac:dyDescent="0.3">
      <c r="B36" s="74">
        <v>45658</v>
      </c>
      <c r="C36" s="75">
        <v>45659</v>
      </c>
      <c r="D36" s="76">
        <v>880000</v>
      </c>
      <c r="E36" s="76">
        <f>-FV(Plan!$H$4/12,-((MONTH(Plan!$E$10)-MONTH(Process!B36))+((YEAR(Plan!$E$10)-YEAR(Process!B36))*12)),0,Process!D36)</f>
        <v>868363.79637488257</v>
      </c>
      <c r="F36" s="77" t="s">
        <v>77</v>
      </c>
      <c r="G36" s="77" t="str">
        <f>VLOOKUP(F36,Plan!$B$12:$C$22,2)</f>
        <v>Dana Darurat</v>
      </c>
      <c r="H36" s="77" t="s">
        <v>58</v>
      </c>
      <c r="I36" s="77" t="s">
        <v>86</v>
      </c>
      <c r="J36" s="77" t="s">
        <v>91</v>
      </c>
      <c r="K36" s="77"/>
    </row>
    <row r="37" spans="2:12" x14ac:dyDescent="0.3">
      <c r="B37" s="74">
        <v>45658</v>
      </c>
      <c r="C37" s="75">
        <v>45669</v>
      </c>
      <c r="D37" s="76">
        <v>405000</v>
      </c>
      <c r="E37" s="76">
        <f>-FV(Plan!$H$4/12,-((MONTH(Plan!$E$10)-MONTH(Process!B37))+((YEAR(Plan!$E$10)-YEAR(Process!B37))*12)),0,Process!D37)</f>
        <v>399644.70174071298</v>
      </c>
      <c r="F37" s="77" t="s">
        <v>75</v>
      </c>
      <c r="G37" s="77" t="str">
        <f>VLOOKUP(F37,Plan!$B$12:$C$22,2)</f>
        <v>Upgrade outfit kerja</v>
      </c>
      <c r="H37" s="77" t="s">
        <v>68</v>
      </c>
      <c r="I37" s="77" t="s">
        <v>86</v>
      </c>
      <c r="J37" s="77" t="s">
        <v>93</v>
      </c>
      <c r="K37" s="77"/>
    </row>
    <row r="38" spans="2:12" x14ac:dyDescent="0.3">
      <c r="B38" s="74">
        <v>45658</v>
      </c>
      <c r="C38" s="75">
        <v>45669</v>
      </c>
      <c r="D38" s="76">
        <v>450000</v>
      </c>
      <c r="E38" s="76">
        <f>-FV(Plan!$H$4/12,-((MONTH(Plan!$E$10)-MONTH(Process!B38))+((YEAR(Plan!$E$10)-YEAR(Process!B38))*12)),0,Process!D38)</f>
        <v>444049.66860079224</v>
      </c>
      <c r="F38" s="77" t="s">
        <v>76</v>
      </c>
      <c r="G38" s="77" t="str">
        <f>VLOOKUP(F38,Plan!$B$12:$C$22,2)</f>
        <v>Self Reward (Upgrade HP / Liburan)</v>
      </c>
      <c r="H38" s="77" t="s">
        <v>59</v>
      </c>
      <c r="I38" s="77" t="s">
        <v>86</v>
      </c>
      <c r="J38" s="77" t="s">
        <v>115</v>
      </c>
      <c r="K38" s="77"/>
    </row>
    <row r="39" spans="2:12" x14ac:dyDescent="0.3">
      <c r="B39" s="74">
        <v>45627</v>
      </c>
      <c r="C39" s="75">
        <v>45669</v>
      </c>
      <c r="D39" s="76">
        <v>-555000</v>
      </c>
      <c r="E39" s="76">
        <f>-FV(Plan!$H$4/12,-((MONTH(Plan!$E$10)-MONTH(Process!B39))+((YEAR(Plan!$E$10)-YEAR(Process!B39))*12)),0,Process!D39)</f>
        <v>-545841.78532323288</v>
      </c>
      <c r="F39" s="77" t="s">
        <v>78</v>
      </c>
      <c r="G39" s="77" t="str">
        <f>VLOOKUP(F39,Plan!$B$12:$C$22,2)</f>
        <v>Mobil</v>
      </c>
      <c r="H39" s="77" t="s">
        <v>88</v>
      </c>
      <c r="I39" s="77" t="s">
        <v>116</v>
      </c>
      <c r="J39" s="77" t="s">
        <v>117</v>
      </c>
      <c r="K39" s="77" t="s">
        <v>129</v>
      </c>
      <c r="L39" s="91">
        <f>920194+D39</f>
        <v>365194</v>
      </c>
    </row>
    <row r="40" spans="2:12" x14ac:dyDescent="0.3">
      <c r="B40" s="74">
        <v>45658</v>
      </c>
      <c r="C40" s="75">
        <v>45669</v>
      </c>
      <c r="D40" s="76">
        <v>812000</v>
      </c>
      <c r="E40" s="76">
        <f>-FV(Plan!$H$4/12,-((MONTH(Plan!$E$10)-MONTH(Process!B40))+((YEAR(Plan!$E$10)-YEAR(Process!B40))*12)),0,Process!D40)</f>
        <v>801262.9575640962</v>
      </c>
      <c r="F40" s="77" t="s">
        <v>78</v>
      </c>
      <c r="G40" s="77" t="str">
        <f>VLOOKUP(F40,Plan!$B$12:$C$22,2)</f>
        <v>Mobil</v>
      </c>
      <c r="H40" s="77" t="s">
        <v>88</v>
      </c>
      <c r="I40" s="77" t="s">
        <v>116</v>
      </c>
      <c r="J40" s="77" t="s">
        <v>130</v>
      </c>
      <c r="K40" s="77"/>
    </row>
    <row r="41" spans="2:12" x14ac:dyDescent="0.3">
      <c r="B41" s="74">
        <v>45658</v>
      </c>
      <c r="C41" s="75">
        <v>45669</v>
      </c>
      <c r="D41" s="76">
        <v>345000</v>
      </c>
      <c r="E41" s="76">
        <f>-FV(Plan!$H$4/12,-((MONTH(Plan!$E$10)-MONTH(Process!B41))+((YEAR(Plan!$E$10)-YEAR(Process!B41))*12)),0,Process!D41)</f>
        <v>340438.07926060737</v>
      </c>
      <c r="F41" s="77" t="s">
        <v>78</v>
      </c>
      <c r="G41" s="77" t="str">
        <f>VLOOKUP(F41,Plan!$B$12:$C$22,2)</f>
        <v>Mobil</v>
      </c>
      <c r="H41" s="77" t="s">
        <v>88</v>
      </c>
      <c r="I41" s="77" t="s">
        <v>116</v>
      </c>
      <c r="J41" s="77" t="s">
        <v>131</v>
      </c>
      <c r="K41" s="77"/>
    </row>
    <row r="42" spans="2:12" x14ac:dyDescent="0.3">
      <c r="B42" s="74">
        <v>45658</v>
      </c>
      <c r="C42" s="75">
        <v>45669</v>
      </c>
      <c r="D42" s="76">
        <v>824657</v>
      </c>
      <c r="E42" s="76">
        <f>-FV(Plan!$H$4/12,-((MONTH(Plan!$E$10)-MONTH(Process!B42))+((YEAR(Plan!$E$10)-YEAR(Process!B42))*12)),0,Process!D42)</f>
        <v>813752.59457627451</v>
      </c>
      <c r="F42" s="77" t="s">
        <v>72</v>
      </c>
      <c r="G42" s="77" t="str">
        <f>VLOOKUP(F42,Plan!$B$12:$C$22,2)</f>
        <v>Dana Pensiun</v>
      </c>
      <c r="H42" s="77" t="s">
        <v>88</v>
      </c>
      <c r="I42" s="77" t="s">
        <v>90</v>
      </c>
      <c r="J42" s="77" t="s">
        <v>128</v>
      </c>
      <c r="K42" s="77"/>
    </row>
    <row r="43" spans="2:12" x14ac:dyDescent="0.3">
      <c r="B43" s="74">
        <v>45658</v>
      </c>
      <c r="C43" s="75">
        <v>45669</v>
      </c>
      <c r="D43" s="76">
        <v>288880.78743328969</v>
      </c>
      <c r="E43" s="76">
        <f>-FV(Plan!$H$4/12,-((MONTH(Plan!$E$10)-MONTH(Process!B43))+((YEAR(Plan!$E$10)-YEAR(Process!B43))*12)),0,Process!D43)</f>
        <v>285060.92872197373</v>
      </c>
      <c r="F43" s="77" t="s">
        <v>79</v>
      </c>
      <c r="G43" s="77" t="str">
        <f>VLOOKUP(F43,Plan!$B$12:$C$22,2)</f>
        <v>Menikah</v>
      </c>
      <c r="H43" s="77" t="s">
        <v>88</v>
      </c>
      <c r="I43" s="77" t="s">
        <v>90</v>
      </c>
      <c r="J43" s="77" t="s">
        <v>89</v>
      </c>
      <c r="K43" s="77"/>
    </row>
    <row r="44" spans="2:12" x14ac:dyDescent="0.3">
      <c r="B44" s="74">
        <v>45658</v>
      </c>
      <c r="C44" s="75">
        <v>45669</v>
      </c>
      <c r="D44" s="76">
        <v>478711.21256671031</v>
      </c>
      <c r="E44" s="76">
        <f>-FV(Plan!$H$4/12,-((MONTH(Plan!$E$10)-MONTH(Process!B44))+((YEAR(Plan!$E$10)-YEAR(Process!B44))*12)),0,Process!D44)</f>
        <v>472381.2339905136</v>
      </c>
      <c r="F44" s="77" t="s">
        <v>80</v>
      </c>
      <c r="G44" s="77" t="str">
        <f>VLOOKUP(F44,Plan!$B$12:$C$22,2)</f>
        <v>KPR Rumah</v>
      </c>
      <c r="H44" s="77" t="s">
        <v>88</v>
      </c>
      <c r="I44" s="77" t="s">
        <v>90</v>
      </c>
      <c r="J44" s="77" t="s">
        <v>89</v>
      </c>
      <c r="K44" s="77"/>
    </row>
    <row r="45" spans="2:12" x14ac:dyDescent="0.3">
      <c r="B45" s="74">
        <v>45658</v>
      </c>
      <c r="C45" s="75">
        <v>45671</v>
      </c>
      <c r="D45" s="76">
        <v>320851</v>
      </c>
      <c r="E45" s="76">
        <f>-FV(Plan!$H$4/12,-((MONTH(Plan!$E$10)-MONTH(Process!B45))+((YEAR(Plan!$E$10)-YEAR(Process!B45))*12)),0,Process!D45)</f>
        <v>316608.40048940619</v>
      </c>
      <c r="F45" s="77" t="s">
        <v>78</v>
      </c>
      <c r="G45" s="77" t="str">
        <f>VLOOKUP(F45,Plan!$B$12:$C$22,2)</f>
        <v>Mobil</v>
      </c>
      <c r="H45" s="77" t="s">
        <v>88</v>
      </c>
      <c r="I45" s="77" t="s">
        <v>90</v>
      </c>
      <c r="J45" s="77" t="s">
        <v>132</v>
      </c>
      <c r="K45" s="77"/>
    </row>
    <row r="46" spans="2:12" x14ac:dyDescent="0.3">
      <c r="B46" s="74">
        <v>45689</v>
      </c>
      <c r="C46" s="75">
        <v>45692</v>
      </c>
      <c r="D46" s="76">
        <v>405000</v>
      </c>
      <c r="E46" s="76">
        <f>-FV(Plan!$H$4/12,-((MONTH(Plan!$E$10)-MONTH(Process!B46))+((YEAR(Plan!$E$10)-YEAR(Process!B46))*12)),0,Process!D46)</f>
        <v>400976.85074651532</v>
      </c>
      <c r="F46" s="77" t="s">
        <v>75</v>
      </c>
      <c r="G46" s="77" t="str">
        <f>VLOOKUP(F46,Plan!$B$12:$C$22,2)</f>
        <v>Upgrade outfit kerja</v>
      </c>
      <c r="H46" s="77" t="s">
        <v>68</v>
      </c>
      <c r="I46" s="77" t="s">
        <v>86</v>
      </c>
      <c r="J46" s="77" t="s">
        <v>93</v>
      </c>
      <c r="K46" s="77"/>
    </row>
    <row r="47" spans="2:12" x14ac:dyDescent="0.3">
      <c r="B47" s="74">
        <v>45689</v>
      </c>
      <c r="C47" s="75">
        <v>45692</v>
      </c>
      <c r="D47" s="76">
        <v>450000</v>
      </c>
      <c r="E47" s="76">
        <f>-FV(Plan!$H$4/12,-((MONTH(Plan!$E$10)-MONTH(Process!B47))+((YEAR(Plan!$E$10)-YEAR(Process!B47))*12)),0,Process!D47)</f>
        <v>445529.83416279481</v>
      </c>
      <c r="F47" s="77" t="s">
        <v>76</v>
      </c>
      <c r="G47" s="77" t="str">
        <f>VLOOKUP(F47,Plan!$B$12:$C$22,2)</f>
        <v>Self Reward (Upgrade HP / Liburan)</v>
      </c>
      <c r="H47" s="77" t="s">
        <v>59</v>
      </c>
      <c r="I47" s="77" t="s">
        <v>86</v>
      </c>
      <c r="J47" s="77" t="s">
        <v>115</v>
      </c>
      <c r="K47" s="77"/>
    </row>
    <row r="48" spans="2:12" x14ac:dyDescent="0.3">
      <c r="B48" s="74">
        <v>45689</v>
      </c>
      <c r="C48" s="75">
        <v>45692</v>
      </c>
      <c r="D48" s="76">
        <v>880000</v>
      </c>
      <c r="E48" s="76">
        <f>-FV(Plan!$H$4/12,-((MONTH(Plan!$E$10)-MONTH(Process!B48))+((YEAR(Plan!$E$10)-YEAR(Process!B48))*12)),0,Process!D48)</f>
        <v>871258.34236279875</v>
      </c>
      <c r="F48" s="77" t="s">
        <v>77</v>
      </c>
      <c r="G48" s="77" t="str">
        <f>VLOOKUP(F48,Plan!$B$12:$C$22,2)</f>
        <v>Dana Darurat</v>
      </c>
      <c r="H48" s="77" t="s">
        <v>58</v>
      </c>
      <c r="I48" s="77" t="s">
        <v>86</v>
      </c>
      <c r="J48" s="77" t="s">
        <v>91</v>
      </c>
      <c r="K48" s="77"/>
    </row>
    <row r="49" spans="2:11" x14ac:dyDescent="0.3">
      <c r="B49" s="74">
        <v>45689</v>
      </c>
      <c r="C49" s="75">
        <v>45692</v>
      </c>
      <c r="D49" s="76">
        <v>201636.81218491902</v>
      </c>
      <c r="E49" s="76">
        <f>-FV(Plan!$H$4/12,-((MONTH(Plan!$E$10)-MONTH(Process!B49))+((YEAR(Plan!$E$10)-YEAR(Process!B49))*12)),0,Process!D49)</f>
        <v>199633.81220858128</v>
      </c>
      <c r="F49" s="77" t="s">
        <v>78</v>
      </c>
      <c r="G49" s="77" t="str">
        <f>VLOOKUP(F49,Plan!$B$12:$C$22,2)</f>
        <v>Mobil</v>
      </c>
      <c r="H49" s="77" t="s">
        <v>88</v>
      </c>
      <c r="I49" s="77" t="s">
        <v>90</v>
      </c>
      <c r="J49" s="77" t="s">
        <v>132</v>
      </c>
      <c r="K49" s="77"/>
    </row>
    <row r="50" spans="2:11" x14ac:dyDescent="0.3">
      <c r="B50" s="74">
        <v>45689</v>
      </c>
      <c r="C50" s="75">
        <v>45692</v>
      </c>
      <c r="D50" s="76">
        <v>102227.01919982837</v>
      </c>
      <c r="E50" s="76">
        <f>-FV(Plan!$H$4/12,-((MONTH(Plan!$E$10)-MONTH(Process!B50))+((YEAR(Plan!$E$10)-YEAR(Process!B50))*12)),0,Process!D50)</f>
        <v>101211.52646901416</v>
      </c>
      <c r="F50" s="77" t="s">
        <v>79</v>
      </c>
      <c r="G50" s="77" t="str">
        <f>VLOOKUP(F50,Plan!$B$12:$C$22,2)</f>
        <v>Menikah</v>
      </c>
      <c r="H50" s="77" t="s">
        <v>88</v>
      </c>
      <c r="I50" s="77" t="s">
        <v>90</v>
      </c>
      <c r="J50" s="77" t="s">
        <v>89</v>
      </c>
      <c r="K50" s="77"/>
    </row>
    <row r="51" spans="2:11" x14ac:dyDescent="0.3">
      <c r="B51" s="74">
        <v>45689</v>
      </c>
      <c r="C51" s="75">
        <v>45692</v>
      </c>
      <c r="D51" s="76">
        <v>169402.82098037112</v>
      </c>
      <c r="E51" s="76">
        <f>-FV(Plan!$H$4/12,-((MONTH(Plan!$E$10)-MONTH(Process!B51))+((YEAR(Plan!$E$10)-YEAR(Process!B51))*12)),0,Process!D51)</f>
        <v>167720.02386243193</v>
      </c>
      <c r="F51" s="77" t="s">
        <v>80</v>
      </c>
      <c r="G51" s="77" t="str">
        <f>VLOOKUP(F51,Plan!$B$12:$C$22,2)</f>
        <v>KPR Rumah</v>
      </c>
      <c r="H51" s="77" t="s">
        <v>88</v>
      </c>
      <c r="I51" s="77" t="s">
        <v>90</v>
      </c>
      <c r="J51" s="77" t="s">
        <v>89</v>
      </c>
      <c r="K51" s="77"/>
    </row>
    <row r="52" spans="2:11" x14ac:dyDescent="0.3">
      <c r="B52" s="74">
        <v>45689</v>
      </c>
      <c r="C52" s="75">
        <v>45692</v>
      </c>
      <c r="D52" s="76">
        <v>291733.34763488144</v>
      </c>
      <c r="E52" s="76">
        <f>-FV(Plan!$H$4/12,-((MONTH(Plan!$E$10)-MONTH(Process!B52))+((YEAR(Plan!$E$10)-YEAR(Process!B52))*12)),0,Process!D52)</f>
        <v>288835.3555367238</v>
      </c>
      <c r="F52" s="77" t="s">
        <v>72</v>
      </c>
      <c r="G52" s="77" t="str">
        <f>VLOOKUP(F52,Plan!$B$12:$C$22,2)</f>
        <v>Dana Pensiun</v>
      </c>
      <c r="H52" s="77" t="s">
        <v>88</v>
      </c>
      <c r="I52" s="77" t="s">
        <v>90</v>
      </c>
      <c r="J52" s="77" t="s">
        <v>128</v>
      </c>
      <c r="K52" s="77"/>
    </row>
    <row r="53" spans="2:11" x14ac:dyDescent="0.3">
      <c r="B53" s="74">
        <v>45689</v>
      </c>
      <c r="C53" s="75">
        <v>45692</v>
      </c>
      <c r="D53" s="76">
        <f>1406475-D40</f>
        <v>594475</v>
      </c>
      <c r="E53" s="76">
        <f>-FV(Plan!$H$4/12,-((MONTH(Plan!$E$10)-MONTH(Process!B53))+((YEAR(Plan!$E$10)-YEAR(Process!B53))*12)),0,Process!D53)</f>
        <v>588569.66258650541</v>
      </c>
      <c r="F53" s="77" t="s">
        <v>78</v>
      </c>
      <c r="G53" s="77" t="str">
        <f>VLOOKUP(F53,Plan!$B$12:$C$22,2)</f>
        <v>Mobil</v>
      </c>
      <c r="H53" s="77" t="s">
        <v>88</v>
      </c>
      <c r="I53" s="77" t="s">
        <v>116</v>
      </c>
      <c r="J53" s="77" t="s">
        <v>130</v>
      </c>
      <c r="K53" s="77" t="s">
        <v>137</v>
      </c>
    </row>
    <row r="54" spans="2:11" x14ac:dyDescent="0.3">
      <c r="B54" s="74">
        <v>45689</v>
      </c>
      <c r="C54" s="75">
        <v>45692</v>
      </c>
      <c r="D54" s="76">
        <f>1845375+431918-D41</f>
        <v>1932293</v>
      </c>
      <c r="E54" s="76">
        <f>-FV(Plan!$H$4/12,-((MONTH(Plan!$E$10)-MONTH(Process!B54))+((YEAR(Plan!$E$10)-YEAR(Process!B54))*12)),0,Process!D54)</f>
        <v>1913098.1774309541</v>
      </c>
      <c r="F54" s="77" t="s">
        <v>78</v>
      </c>
      <c r="G54" s="77" t="str">
        <f>VLOOKUP(F54,Plan!$B$12:$C$22,2)</f>
        <v>Mobil</v>
      </c>
      <c r="H54" s="77" t="s">
        <v>88</v>
      </c>
      <c r="I54" s="77" t="s">
        <v>116</v>
      </c>
      <c r="J54" s="77" t="s">
        <v>131</v>
      </c>
      <c r="K54" s="77" t="s">
        <v>137</v>
      </c>
    </row>
    <row r="55" spans="2:11" x14ac:dyDescent="0.3">
      <c r="B55" s="74">
        <v>45689</v>
      </c>
      <c r="C55" s="75">
        <v>45692</v>
      </c>
      <c r="D55" s="76">
        <v>-2988350.14643182</v>
      </c>
      <c r="E55" s="76">
        <f>-FV(Plan!$H$4/12,-((MONTH(Plan!$E$10)-MONTH(Process!B55))+((YEAR(Plan!$E$10)-YEAR(Process!B55))*12)),0,Process!D55)</f>
        <v>-2958664.7670225166</v>
      </c>
      <c r="F55" s="77" t="s">
        <v>74</v>
      </c>
      <c r="G55" s="77" t="str">
        <f>VLOOKUP(F55,Plan!$B$12:$C$22,2)</f>
        <v>Wisuda (Fotografer, makeup, outfit, tiket bolak balik)</v>
      </c>
      <c r="H55" s="77" t="s">
        <v>59</v>
      </c>
      <c r="I55" s="77" t="s">
        <v>86</v>
      </c>
      <c r="J55" s="77" t="s">
        <v>115</v>
      </c>
      <c r="K55" s="77" t="s">
        <v>119</v>
      </c>
    </row>
    <row r="56" spans="2:11" x14ac:dyDescent="0.3">
      <c r="B56" s="74">
        <v>45689</v>
      </c>
      <c r="C56" s="75">
        <v>45698</v>
      </c>
      <c r="D56" s="102">
        <v>-1406475</v>
      </c>
      <c r="E56" s="76">
        <f>-FV(Plan!$H$4/12,-((MONTH(Plan!$E$10)-MONTH(Process!B56))+((YEAR(Plan!$E$10)-YEAR(Process!B56))*12)),0,Process!D56)</f>
        <v>-1392503.4966758152</v>
      </c>
      <c r="F56" s="77" t="s">
        <v>78</v>
      </c>
      <c r="G56" s="77" t="str">
        <f>VLOOKUP(F56,Plan!$B$12:$C$22,2)</f>
        <v>Mobil</v>
      </c>
      <c r="H56" s="77" t="s">
        <v>88</v>
      </c>
      <c r="I56" s="77" t="s">
        <v>116</v>
      </c>
      <c r="J56" s="77" t="s">
        <v>130</v>
      </c>
      <c r="K56" s="77" t="s">
        <v>119</v>
      </c>
    </row>
    <row r="57" spans="2:11" x14ac:dyDescent="0.3">
      <c r="B57" s="74">
        <v>45689</v>
      </c>
      <c r="C57" s="75">
        <v>45698</v>
      </c>
      <c r="D57" s="102">
        <v>-2277293</v>
      </c>
      <c r="E57" s="76">
        <f>-FV(Plan!$H$4/12,-((MONTH(Plan!$E$10)-MONTH(Process!B57))+((YEAR(Plan!$E$10)-YEAR(Process!B57))*12)),0,Process!D57)</f>
        <v>-2254671.0502890968</v>
      </c>
      <c r="F57" s="77" t="s">
        <v>78</v>
      </c>
      <c r="G57" s="77" t="str">
        <f>VLOOKUP(F57,Plan!$B$12:$C$22,2)</f>
        <v>Mobil</v>
      </c>
      <c r="H57" s="77" t="s">
        <v>88</v>
      </c>
      <c r="I57" s="77" t="s">
        <v>116</v>
      </c>
      <c r="J57" s="77" t="s">
        <v>131</v>
      </c>
      <c r="K57" s="77" t="s">
        <v>119</v>
      </c>
    </row>
    <row r="58" spans="2:11" x14ac:dyDescent="0.3">
      <c r="B58" s="74">
        <v>45689</v>
      </c>
      <c r="C58" s="75">
        <v>45698</v>
      </c>
      <c r="D58" s="76">
        <v>1447614</v>
      </c>
      <c r="E58" s="76">
        <f>-FV(Plan!$H$4/12,-((MONTH(Plan!$E$10)-MONTH(Process!B58))+((YEAR(Plan!$E$10)-YEAR(Process!B58))*12)),0,Process!D58)</f>
        <v>1433233.8341149779</v>
      </c>
      <c r="F58" s="77" t="s">
        <v>72</v>
      </c>
      <c r="G58" s="77" t="str">
        <f>VLOOKUP(F58,Plan!$B$12:$C$22,2)</f>
        <v>Dana Pensiun</v>
      </c>
      <c r="H58" s="77" t="s">
        <v>88</v>
      </c>
      <c r="I58" s="77" t="s">
        <v>90</v>
      </c>
      <c r="J58" s="77" t="s">
        <v>128</v>
      </c>
      <c r="K58" s="77"/>
    </row>
    <row r="59" spans="2:11" x14ac:dyDescent="0.3">
      <c r="B59" s="74">
        <v>45689</v>
      </c>
      <c r="C59" s="75">
        <v>45698</v>
      </c>
      <c r="D59" s="76">
        <v>2772359</v>
      </c>
      <c r="E59" s="76">
        <f>-FV(Plan!$H$4/12,-((MONTH(Plan!$E$10)-MONTH(Process!B59))+((YEAR(Plan!$E$10)-YEAR(Process!B59))*12)),0,Process!D59)</f>
        <v>2744819.212243848</v>
      </c>
      <c r="F59" s="77" t="s">
        <v>78</v>
      </c>
      <c r="G59" s="77" t="str">
        <f>VLOOKUP(F59,Plan!$B$12:$C$22,2)</f>
        <v>Mobil</v>
      </c>
      <c r="H59" s="77" t="s">
        <v>88</v>
      </c>
      <c r="I59" s="77" t="s">
        <v>90</v>
      </c>
      <c r="J59" s="77" t="s">
        <v>132</v>
      </c>
      <c r="K59" s="77"/>
    </row>
    <row r="60" spans="2:11" x14ac:dyDescent="0.3">
      <c r="B60" s="74">
        <v>45689</v>
      </c>
      <c r="C60" s="75">
        <v>45698</v>
      </c>
      <c r="D60" s="76">
        <f>-SUM(E11,E23,E25)</f>
        <v>-1425879.803138386</v>
      </c>
      <c r="E60" s="76">
        <f>-FV(Plan!$H$4/12,-((MONTH(Plan!$E$10)-MONTH(Process!B60))+((YEAR(Plan!$E$10)-YEAR(Process!B60))*12)),0,Process!D60)</f>
        <v>-1411715.5382851637</v>
      </c>
      <c r="F60" s="77" t="s">
        <v>72</v>
      </c>
      <c r="G60" s="77" t="str">
        <f>VLOOKUP(F60,Plan!$B$12:$C$22,2)</f>
        <v>Dana Pensiun</v>
      </c>
      <c r="H60" s="77" t="s">
        <v>60</v>
      </c>
      <c r="I60" s="77" t="s">
        <v>86</v>
      </c>
      <c r="J60" s="77" t="s">
        <v>94</v>
      </c>
      <c r="K60" s="77"/>
    </row>
    <row r="61" spans="2:11" x14ac:dyDescent="0.3">
      <c r="B61" s="74">
        <v>45689</v>
      </c>
      <c r="C61" s="75">
        <v>45698</v>
      </c>
      <c r="D61" s="76">
        <f>-SUM(E8,E22)</f>
        <v>-955251.76622683334</v>
      </c>
      <c r="E61" s="76">
        <f>-FV(Plan!$H$4/12,-((MONTH(Plan!$E$10)-MONTH(Process!B61))+((YEAR(Plan!$E$10)-YEAR(Process!B61))*12)),0,Process!D61)</f>
        <v>-945762.57997946197</v>
      </c>
      <c r="F61" s="77" t="s">
        <v>78</v>
      </c>
      <c r="G61" s="77" t="str">
        <f>VLOOKUP(F61,Plan!$B$12:$C$22,2)</f>
        <v>Mobil</v>
      </c>
      <c r="H61" s="77" t="s">
        <v>60</v>
      </c>
      <c r="I61" s="77" t="s">
        <v>86</v>
      </c>
      <c r="J61" s="77" t="s">
        <v>94</v>
      </c>
      <c r="K61" s="77"/>
    </row>
    <row r="62" spans="2:11" x14ac:dyDescent="0.3">
      <c r="B62" s="74">
        <v>45717</v>
      </c>
      <c r="C62" s="75">
        <v>45717</v>
      </c>
      <c r="D62" s="79">
        <v>-2025000</v>
      </c>
      <c r="E62" s="76">
        <f>-FV(Plan!$H$4/12,-((MONTH(Plan!$E$10)-MONTH(Process!B62))+((YEAR(Plan!$E$10)-YEAR(Process!B62))*12)),0,Process!D62)</f>
        <v>-2011567.201245019</v>
      </c>
      <c r="F62" s="77" t="s">
        <v>75</v>
      </c>
      <c r="G62" s="77" t="str">
        <f>VLOOKUP(F62,Plan!$B$12:$C$22,2)</f>
        <v>Upgrade outfit kerja</v>
      </c>
      <c r="H62" s="77" t="s">
        <v>68</v>
      </c>
      <c r="I62" s="77" t="s">
        <v>86</v>
      </c>
      <c r="J62" s="77" t="s">
        <v>93</v>
      </c>
      <c r="K62" s="77"/>
    </row>
    <row r="63" spans="2:11" x14ac:dyDescent="0.3">
      <c r="B63" s="74">
        <v>45717</v>
      </c>
      <c r="C63" s="75">
        <v>45717</v>
      </c>
      <c r="D63" s="76">
        <v>880000</v>
      </c>
      <c r="E63" s="76">
        <f>-FV(Plan!$H$4/12,-((MONTH(Plan!$E$10)-MONTH(Process!B63))+((YEAR(Plan!$E$10)-YEAR(Process!B63))*12)),0,Process!D63)</f>
        <v>874162.53683734161</v>
      </c>
      <c r="F63" s="77" t="s">
        <v>77</v>
      </c>
      <c r="G63" s="77" t="str">
        <f>VLOOKUP(F63,Plan!$B$12:$C$22,2)</f>
        <v>Dana Darurat</v>
      </c>
      <c r="H63" s="77" t="s">
        <v>58</v>
      </c>
      <c r="I63" s="77" t="s">
        <v>86</v>
      </c>
      <c r="J63" s="77" t="s">
        <v>91</v>
      </c>
      <c r="K63" s="77"/>
    </row>
    <row r="64" spans="2:11" x14ac:dyDescent="0.3">
      <c r="B64" s="74">
        <v>45717</v>
      </c>
      <c r="C64" s="75">
        <v>45717</v>
      </c>
      <c r="D64" s="76">
        <v>450000</v>
      </c>
      <c r="E64" s="76">
        <f>-FV(Plan!$H$4/12,-((MONTH(Plan!$E$10)-MONTH(Process!B64))+((YEAR(Plan!$E$10)-YEAR(Process!B64))*12)),0,Process!D64)</f>
        <v>447014.93361000426</v>
      </c>
      <c r="F64" s="77" t="s">
        <v>76</v>
      </c>
      <c r="G64" s="77" t="str">
        <f>VLOOKUP(F64,Plan!$B$12:$C$22,2)</f>
        <v>Self Reward (Upgrade HP / Liburan)</v>
      </c>
      <c r="H64" s="77" t="s">
        <v>59</v>
      </c>
      <c r="I64" s="77" t="s">
        <v>86</v>
      </c>
      <c r="J64" s="77" t="s">
        <v>115</v>
      </c>
      <c r="K64" s="77"/>
    </row>
    <row r="65" spans="2:11" x14ac:dyDescent="0.3">
      <c r="B65" s="74">
        <v>45717</v>
      </c>
      <c r="C65" s="75">
        <v>45747</v>
      </c>
      <c r="D65" s="76">
        <v>308000</v>
      </c>
      <c r="E65" s="76">
        <f>-FV(Plan!$H$4/12,-((MONTH(Plan!$E$10)-MONTH(Process!B65))+((YEAR(Plan!$E$10)-YEAR(Process!B65))*12)),0,Process!D65)</f>
        <v>305956.88789306954</v>
      </c>
      <c r="F65" s="77" t="s">
        <v>78</v>
      </c>
      <c r="G65" s="77" t="str">
        <f>VLOOKUP(F65,Plan!$B$12:$C$22,2)</f>
        <v>Mobil</v>
      </c>
      <c r="H65" s="77" t="s">
        <v>88</v>
      </c>
      <c r="I65" s="77" t="s">
        <v>90</v>
      </c>
      <c r="J65" s="77" t="s">
        <v>132</v>
      </c>
      <c r="K65" s="77"/>
    </row>
    <row r="66" spans="2:11" x14ac:dyDescent="0.3">
      <c r="B66" s="74">
        <v>45717</v>
      </c>
      <c r="C66" s="75">
        <v>45747</v>
      </c>
      <c r="D66" s="76">
        <v>446000</v>
      </c>
      <c r="E66" s="76">
        <f>-FV(Plan!$H$4/12,-((MONTH(Plan!$E$10)-MONTH(Process!B66))+((YEAR(Plan!$E$10)-YEAR(Process!B66))*12)),0,Process!D66)</f>
        <v>443041.46753347083</v>
      </c>
      <c r="F66" s="77" t="s">
        <v>72</v>
      </c>
      <c r="G66" s="77" t="str">
        <f>VLOOKUP(F66,Plan!$B$12:$C$22,2)</f>
        <v>Dana Pensiun</v>
      </c>
      <c r="H66" s="77" t="s">
        <v>60</v>
      </c>
      <c r="I66" s="77" t="s">
        <v>86</v>
      </c>
      <c r="J66" s="77" t="s">
        <v>94</v>
      </c>
      <c r="K66" s="77"/>
    </row>
    <row r="67" spans="2:11" x14ac:dyDescent="0.3">
      <c r="B67" s="74">
        <v>45717</v>
      </c>
      <c r="C67" s="75">
        <v>45747</v>
      </c>
      <c r="D67" s="76">
        <v>156000</v>
      </c>
      <c r="E67" s="76">
        <f>-FV(Plan!$H$4/12,-((MONTH(Plan!$E$10)-MONTH(Process!B67))+((YEAR(Plan!$E$10)-YEAR(Process!B67))*12)),0,Process!D67)</f>
        <v>154965.17698480145</v>
      </c>
      <c r="F67" s="77" t="s">
        <v>79</v>
      </c>
      <c r="G67" s="77" t="str">
        <f>VLOOKUP(F67,Plan!$B$12:$C$22,2)</f>
        <v>Menikah</v>
      </c>
      <c r="H67" s="77" t="s">
        <v>88</v>
      </c>
      <c r="I67" s="77" t="s">
        <v>90</v>
      </c>
      <c r="J67" s="77" t="s">
        <v>89</v>
      </c>
      <c r="K67" s="77"/>
    </row>
    <row r="68" spans="2:11" x14ac:dyDescent="0.3">
      <c r="B68" s="74">
        <v>45717</v>
      </c>
      <c r="C68" s="75">
        <v>45747</v>
      </c>
      <c r="D68" s="76">
        <v>259000</v>
      </c>
      <c r="E68" s="76">
        <f>-FV(Plan!$H$4/12,-((MONTH(Plan!$E$10)-MONTH(Process!B68))+((YEAR(Plan!$E$10)-YEAR(Process!B68))*12)),0,Process!D68)</f>
        <v>257281.92845553576</v>
      </c>
      <c r="F68" s="77" t="s">
        <v>80</v>
      </c>
      <c r="G68" s="77" t="str">
        <f>VLOOKUP(F68,Plan!$B$12:$C$22,2)</f>
        <v>KPR Rumah</v>
      </c>
      <c r="H68" s="77" t="s">
        <v>88</v>
      </c>
      <c r="I68" s="77" t="s">
        <v>90</v>
      </c>
      <c r="J68" s="77" t="s">
        <v>89</v>
      </c>
      <c r="K68" s="77"/>
    </row>
    <row r="69" spans="2:11" x14ac:dyDescent="0.3">
      <c r="B69" s="74">
        <v>45748</v>
      </c>
      <c r="C69" s="75">
        <v>45756</v>
      </c>
      <c r="D69" s="76">
        <v>600000</v>
      </c>
      <c r="E69" s="76">
        <f>-FV(Plan!$H$4/12,-((MONTH(Plan!$E$10)-MONTH(Process!B69))+((YEAR(Plan!$E$10)-YEAR(Process!B69))*12)),0,Process!D69)</f>
        <v>598006.64451827237</v>
      </c>
      <c r="F69" s="77" t="s">
        <v>76</v>
      </c>
      <c r="G69" s="77" t="str">
        <f>VLOOKUP(F69,Plan!$B$12:$C$22,2)</f>
        <v>Self Reward (Upgrade HP / Liburan)</v>
      </c>
      <c r="H69" s="77" t="s">
        <v>59</v>
      </c>
      <c r="I69" s="77" t="s">
        <v>86</v>
      </c>
      <c r="J69" s="77" t="s">
        <v>115</v>
      </c>
      <c r="K69" s="77"/>
    </row>
    <row r="70" spans="2:11" x14ac:dyDescent="0.3">
      <c r="B70" s="74">
        <v>45748</v>
      </c>
      <c r="C70" s="75">
        <v>45756</v>
      </c>
      <c r="D70" s="76">
        <v>880000</v>
      </c>
      <c r="E70" s="76">
        <f>-FV(Plan!$H$4/12,-((MONTH(Plan!$E$10)-MONTH(Process!B70))+((YEAR(Plan!$E$10)-YEAR(Process!B70))*12)),0,Process!D70)</f>
        <v>877076.41196013289</v>
      </c>
      <c r="F70" s="77" t="s">
        <v>77</v>
      </c>
      <c r="G70" s="77" t="str">
        <f>VLOOKUP(F70,Plan!$B$12:$C$22,2)</f>
        <v>Dana Darurat</v>
      </c>
      <c r="H70" s="77" t="s">
        <v>58</v>
      </c>
      <c r="I70" s="77" t="s">
        <v>86</v>
      </c>
      <c r="J70" s="77" t="s">
        <v>91</v>
      </c>
      <c r="K70" s="77"/>
    </row>
    <row r="71" spans="2:11" x14ac:dyDescent="0.3">
      <c r="B71" s="78"/>
      <c r="C71" s="77"/>
      <c r="D71" s="76"/>
      <c r="E71" s="76">
        <f>-FV(Plan!$H$4/12,-((MONTH(Plan!$E$10)-MONTH(Process!B71))+((YEAR(Plan!$E$10)-YEAR(Process!B71))*12)),0,Process!D71)</f>
        <v>0</v>
      </c>
      <c r="F71" s="77"/>
      <c r="G71" s="77" t="e">
        <f>VLOOKUP(F71,Plan!$B$12:$C$22,2)</f>
        <v>#N/A</v>
      </c>
      <c r="H71" s="77"/>
      <c r="I71" s="77"/>
      <c r="J71" s="77"/>
      <c r="K71" s="77"/>
    </row>
    <row r="72" spans="2:11" x14ac:dyDescent="0.3">
      <c r="B72" s="78"/>
      <c r="C72" s="77"/>
      <c r="D72" s="76"/>
      <c r="E72" s="76">
        <f>-FV(Plan!$H$4/12,-((MONTH(Plan!$E$10)-MONTH(Process!B72))+((YEAR(Plan!$E$10)-YEAR(Process!B72))*12)),0,Process!D72)</f>
        <v>0</v>
      </c>
      <c r="F72" s="77"/>
      <c r="G72" s="77" t="e">
        <f>VLOOKUP(F72,Plan!$B$12:$C$22,2)</f>
        <v>#N/A</v>
      </c>
      <c r="H72" s="77"/>
      <c r="I72" s="77"/>
      <c r="J72" s="77"/>
      <c r="K72" s="77"/>
    </row>
    <row r="73" spans="2:11" x14ac:dyDescent="0.3">
      <c r="B73" s="78"/>
      <c r="C73" s="77"/>
      <c r="D73" s="76"/>
      <c r="E73" s="76">
        <f>-FV(Plan!$H$4/12,-((MONTH(Plan!$E$10)-MONTH(Process!B73))+((YEAR(Plan!$E$10)-YEAR(Process!B73))*12)),0,Process!D73)</f>
        <v>0</v>
      </c>
      <c r="F73" s="77"/>
      <c r="G73" s="77" t="e">
        <f>VLOOKUP(F73,Plan!$B$12:$C$22,2)</f>
        <v>#N/A</v>
      </c>
      <c r="H73" s="77"/>
      <c r="I73" s="77"/>
      <c r="J73" s="77"/>
      <c r="K73" s="77"/>
    </row>
    <row r="74" spans="2:11" x14ac:dyDescent="0.3">
      <c r="B74" s="78"/>
      <c r="C74" s="77"/>
      <c r="D74" s="76"/>
      <c r="E74" s="76">
        <f>-FV(Plan!$H$4/12,-((MONTH(Plan!$E$10)-MONTH(Process!B74))+((YEAR(Plan!$E$10)-YEAR(Process!B74))*12)),0,Process!D74)</f>
        <v>0</v>
      </c>
      <c r="F74" s="77"/>
      <c r="G74" s="77" t="e">
        <f>VLOOKUP(F74,Plan!$B$12:$C$22,2)</f>
        <v>#N/A</v>
      </c>
      <c r="H74" s="77"/>
      <c r="I74" s="77"/>
      <c r="J74" s="77"/>
      <c r="K74" s="77"/>
    </row>
    <row r="75" spans="2:11" x14ac:dyDescent="0.3">
      <c r="B75" s="78"/>
      <c r="C75" s="77"/>
      <c r="D75" s="76"/>
      <c r="E75" s="76">
        <f>-FV(Plan!$H$4/12,-((MONTH(Plan!$E$10)-MONTH(Process!B75))+((YEAR(Plan!$E$10)-YEAR(Process!B75))*12)),0,Process!D75)</f>
        <v>0</v>
      </c>
      <c r="F75" s="77"/>
      <c r="G75" s="77" t="e">
        <f>VLOOKUP(F75,Plan!$B$12:$C$22,2)</f>
        <v>#N/A</v>
      </c>
      <c r="H75" s="77"/>
      <c r="I75" s="77"/>
      <c r="J75" s="77"/>
      <c r="K75" s="77"/>
    </row>
    <row r="76" spans="2:11" x14ac:dyDescent="0.3">
      <c r="B76" s="78"/>
      <c r="C76" s="77"/>
      <c r="D76" s="76"/>
      <c r="E76" s="76">
        <f>-FV(Plan!$H$4/12,-((MONTH(Plan!$E$10)-MONTH(Process!B76))+((YEAR(Plan!$E$10)-YEAR(Process!B76))*12)),0,Process!D76)</f>
        <v>0</v>
      </c>
      <c r="F76" s="77"/>
      <c r="G76" s="77" t="e">
        <f>VLOOKUP(F76,Plan!$B$12:$C$22,2)</f>
        <v>#N/A</v>
      </c>
      <c r="H76" s="77"/>
      <c r="I76" s="77"/>
      <c r="J76" s="77"/>
      <c r="K76" s="77"/>
    </row>
    <row r="77" spans="2:11" x14ac:dyDescent="0.3">
      <c r="B77" s="78"/>
      <c r="C77" s="77"/>
      <c r="D77" s="76"/>
      <c r="E77" s="76">
        <f>-FV(Plan!$H$4/12,-((MONTH(Plan!$E$10)-MONTH(Process!B77))+((YEAR(Plan!$E$10)-YEAR(Process!B77))*12)),0,Process!D77)</f>
        <v>0</v>
      </c>
      <c r="F77" s="77"/>
      <c r="G77" s="77" t="e">
        <f>VLOOKUP(F77,Plan!$B$12:$C$22,2)</f>
        <v>#N/A</v>
      </c>
      <c r="H77" s="77"/>
      <c r="I77" s="77"/>
      <c r="J77" s="77"/>
      <c r="K77" s="77"/>
    </row>
    <row r="78" spans="2:11" x14ac:dyDescent="0.3">
      <c r="B78" s="78"/>
      <c r="C78" s="77"/>
      <c r="D78" s="76"/>
      <c r="E78" s="76">
        <f>-FV(Plan!$H$4/12,-((MONTH(Plan!$E$10)-MONTH(Process!B78))+((YEAR(Plan!$E$10)-YEAR(Process!B78))*12)),0,Process!D78)</f>
        <v>0</v>
      </c>
      <c r="F78" s="77"/>
      <c r="G78" s="77" t="e">
        <f>VLOOKUP(F78,Plan!$B$12:$C$22,2)</f>
        <v>#N/A</v>
      </c>
      <c r="H78" s="77"/>
      <c r="I78" s="77"/>
      <c r="J78" s="77"/>
      <c r="K78" s="77"/>
    </row>
    <row r="79" spans="2:11" x14ac:dyDescent="0.3">
      <c r="B79" s="78"/>
      <c r="C79" s="77"/>
      <c r="D79" s="76"/>
      <c r="E79" s="76">
        <f>-FV(Plan!$H$4/12,-((MONTH(Plan!$E$10)-MONTH(Process!B79))+((YEAR(Plan!$E$10)-YEAR(Process!B79))*12)),0,Process!D79)</f>
        <v>0</v>
      </c>
      <c r="F79" s="77"/>
      <c r="G79" s="77" t="e">
        <f>VLOOKUP(F79,Plan!$B$12:$C$22,2)</f>
        <v>#N/A</v>
      </c>
      <c r="H79" s="77"/>
      <c r="I79" s="77"/>
      <c r="J79" s="77"/>
      <c r="K79" s="77"/>
    </row>
    <row r="80" spans="2:11" x14ac:dyDescent="0.3">
      <c r="B80" s="78"/>
      <c r="C80" s="77"/>
      <c r="D80" s="76"/>
      <c r="E80" s="76">
        <f>-FV(Plan!$H$4/12,-((MONTH(Plan!$E$10)-MONTH(Process!B80))+((YEAR(Plan!$E$10)-YEAR(Process!B80))*12)),0,Process!D80)</f>
        <v>0</v>
      </c>
      <c r="F80" s="77"/>
      <c r="G80" s="77" t="e">
        <f>VLOOKUP(F80,Plan!$B$12:$C$22,2)</f>
        <v>#N/A</v>
      </c>
      <c r="H80" s="77"/>
      <c r="I80" s="77"/>
      <c r="J80" s="77"/>
      <c r="K80" s="77"/>
    </row>
    <row r="81" spans="2:11" x14ac:dyDescent="0.3">
      <c r="B81" s="78"/>
      <c r="C81" s="77"/>
      <c r="D81" s="76"/>
      <c r="E81" s="76">
        <f>-FV(Plan!$H$4/12,-((MONTH(Plan!$E$10)-MONTH(Process!B81))+((YEAR(Plan!$E$10)-YEAR(Process!B81))*12)),0,Process!D81)</f>
        <v>0</v>
      </c>
      <c r="F81" s="77"/>
      <c r="G81" s="77" t="e">
        <f>VLOOKUP(F81,Plan!$B$12:$C$22,2)</f>
        <v>#N/A</v>
      </c>
      <c r="H81" s="77"/>
      <c r="I81" s="77"/>
      <c r="J81" s="77"/>
      <c r="K81" s="77"/>
    </row>
    <row r="82" spans="2:11" x14ac:dyDescent="0.3">
      <c r="B82" s="78"/>
      <c r="C82" s="77"/>
      <c r="D82" s="76"/>
      <c r="E82" s="76">
        <f>-FV(Plan!$H$4/12,-((MONTH(Plan!$E$10)-MONTH(Process!B82))+((YEAR(Plan!$E$10)-YEAR(Process!B82))*12)),0,Process!D82)</f>
        <v>0</v>
      </c>
      <c r="F82" s="77"/>
      <c r="G82" s="77" t="e">
        <f>VLOOKUP(F82,Plan!$B$12:$C$22,2)</f>
        <v>#N/A</v>
      </c>
      <c r="H82" s="77"/>
      <c r="I82" s="77"/>
      <c r="J82" s="77"/>
      <c r="K82" s="77"/>
    </row>
    <row r="83" spans="2:11" x14ac:dyDescent="0.3">
      <c r="B83" s="78"/>
      <c r="C83" s="77"/>
      <c r="D83" s="76"/>
      <c r="E83" s="76">
        <f>-FV(Plan!$H$4/12,-((MONTH(Plan!$E$10)-MONTH(Process!B83))+((YEAR(Plan!$E$10)-YEAR(Process!B83))*12)),0,Process!D83)</f>
        <v>0</v>
      </c>
      <c r="F83" s="77"/>
      <c r="G83" s="77" t="e">
        <f>VLOOKUP(F83,Plan!$B$12:$C$22,2)</f>
        <v>#N/A</v>
      </c>
      <c r="H83" s="77"/>
      <c r="I83" s="77"/>
      <c r="J83" s="77"/>
      <c r="K83" s="77"/>
    </row>
    <row r="84" spans="2:11" x14ac:dyDescent="0.3">
      <c r="B84" s="78"/>
      <c r="C84" s="77"/>
      <c r="D84" s="76"/>
      <c r="E84" s="76">
        <f>-FV(Plan!$H$4/12,-((MONTH(Plan!$E$10)-MONTH(Process!B84))+((YEAR(Plan!$E$10)-YEAR(Process!B84))*12)),0,Process!D84)</f>
        <v>0</v>
      </c>
      <c r="F84" s="77"/>
      <c r="G84" s="77" t="e">
        <f>VLOOKUP(F84,Plan!$B$12:$C$22,2)</f>
        <v>#N/A</v>
      </c>
      <c r="H84" s="77"/>
      <c r="I84" s="77"/>
      <c r="J84" s="77"/>
      <c r="K84" s="77"/>
    </row>
    <row r="85" spans="2:11" x14ac:dyDescent="0.3">
      <c r="B85" s="78"/>
      <c r="C85" s="77"/>
      <c r="D85" s="76"/>
      <c r="E85" s="76">
        <f>-FV(Plan!$H$4/12,-((MONTH(Plan!$E$10)-MONTH(Process!B85))+((YEAR(Plan!$E$10)-YEAR(Process!B85))*12)),0,Process!D85)</f>
        <v>0</v>
      </c>
      <c r="F85" s="77"/>
      <c r="G85" s="77" t="e">
        <f>VLOOKUP(F85,Plan!$B$12:$C$22,2)</f>
        <v>#N/A</v>
      </c>
      <c r="H85" s="77"/>
      <c r="I85" s="77"/>
      <c r="J85" s="77"/>
      <c r="K85" s="77"/>
    </row>
    <row r="86" spans="2:11" x14ac:dyDescent="0.3">
      <c r="B86" s="78"/>
      <c r="C86" s="77"/>
      <c r="D86" s="76"/>
      <c r="E86" s="76">
        <f>-FV(Plan!$H$4/12,-((MONTH(Plan!$E$10)-MONTH(Process!B86))+((YEAR(Plan!$E$10)-YEAR(Process!B86))*12)),0,Process!D86)</f>
        <v>0</v>
      </c>
      <c r="F86" s="77"/>
      <c r="G86" s="77" t="e">
        <f>VLOOKUP(F86,Plan!$B$12:$C$22,2)</f>
        <v>#N/A</v>
      </c>
      <c r="H86" s="77"/>
      <c r="I86" s="77"/>
      <c r="J86" s="77"/>
      <c r="K86" s="77"/>
    </row>
    <row r="87" spans="2:11" x14ac:dyDescent="0.3">
      <c r="B87" s="78"/>
      <c r="C87" s="77"/>
      <c r="D87" s="76"/>
      <c r="E87" s="76">
        <f>-FV(Plan!$H$4/12,-((MONTH(Plan!$E$10)-MONTH(Process!B87))+((YEAR(Plan!$E$10)-YEAR(Process!B87))*12)),0,Process!D87)</f>
        <v>0</v>
      </c>
      <c r="F87" s="77"/>
      <c r="G87" s="77" t="e">
        <f>VLOOKUP(F87,Plan!$B$12:$C$22,2)</f>
        <v>#N/A</v>
      </c>
      <c r="H87" s="77"/>
      <c r="I87" s="77"/>
      <c r="J87" s="77"/>
      <c r="K87" s="77"/>
    </row>
    <row r="88" spans="2:11" x14ac:dyDescent="0.3">
      <c r="B88" s="78"/>
      <c r="C88" s="77"/>
      <c r="D88" s="76"/>
      <c r="E88" s="76">
        <f>-FV(Plan!$H$4/12,-((MONTH(Plan!$E$10)-MONTH(Process!B88))+((YEAR(Plan!$E$10)-YEAR(Process!B88))*12)),0,Process!D88)</f>
        <v>0</v>
      </c>
      <c r="F88" s="77"/>
      <c r="G88" s="77" t="e">
        <f>VLOOKUP(F88,Plan!$B$12:$C$22,2)</f>
        <v>#N/A</v>
      </c>
      <c r="H88" s="77"/>
      <c r="I88" s="77"/>
      <c r="J88" s="77"/>
      <c r="K88" s="77"/>
    </row>
    <row r="89" spans="2:11" x14ac:dyDescent="0.3">
      <c r="B89" s="78"/>
      <c r="C89" s="77"/>
      <c r="D89" s="76"/>
      <c r="E89" s="76">
        <f>-FV(Plan!$H$4/12,-((MONTH(Plan!$E$10)-MONTH(Process!B89))+((YEAR(Plan!$E$10)-YEAR(Process!B89))*12)),0,Process!D89)</f>
        <v>0</v>
      </c>
      <c r="F89" s="77"/>
      <c r="G89" s="77" t="e">
        <f>VLOOKUP(F89,Plan!$B$12:$C$22,2)</f>
        <v>#N/A</v>
      </c>
      <c r="H89" s="77"/>
      <c r="I89" s="77"/>
      <c r="J89" s="77"/>
      <c r="K89" s="77"/>
    </row>
    <row r="90" spans="2:11" x14ac:dyDescent="0.3">
      <c r="B90" s="78"/>
      <c r="C90" s="77"/>
      <c r="D90" s="76"/>
      <c r="E90" s="76">
        <f>-FV(Plan!$H$4/12,-((MONTH(Plan!$E$10)-MONTH(Process!B90))+((YEAR(Plan!$E$10)-YEAR(Process!B90))*12)),0,Process!D90)</f>
        <v>0</v>
      </c>
      <c r="F90" s="77"/>
      <c r="G90" s="77" t="e">
        <f>VLOOKUP(F90,Plan!$B$12:$C$22,2)</f>
        <v>#N/A</v>
      </c>
      <c r="H90" s="77"/>
      <c r="I90" s="77"/>
      <c r="J90" s="77"/>
      <c r="K90" s="77"/>
    </row>
    <row r="91" spans="2:11" x14ac:dyDescent="0.3">
      <c r="B91" s="78"/>
      <c r="C91" s="77"/>
      <c r="D91" s="76"/>
      <c r="E91" s="76">
        <f>-FV(Plan!$H$4/12,-((MONTH(Plan!$E$10)-MONTH(Process!B91))+((YEAR(Plan!$E$10)-YEAR(Process!B91))*12)),0,Process!D91)</f>
        <v>0</v>
      </c>
      <c r="F91" s="77"/>
      <c r="G91" s="77" t="e">
        <f>VLOOKUP(F91,Plan!$B$12:$C$22,2)</f>
        <v>#N/A</v>
      </c>
      <c r="H91" s="77"/>
      <c r="I91" s="77"/>
      <c r="J91" s="77"/>
      <c r="K91" s="77"/>
    </row>
    <row r="92" spans="2:11" x14ac:dyDescent="0.3">
      <c r="B92" s="78"/>
      <c r="C92" s="77"/>
      <c r="D92" s="76"/>
      <c r="E92" s="76">
        <f>-FV(Plan!$H$4/12,-((MONTH(Plan!$E$10)-MONTH(Process!B92))+((YEAR(Plan!$E$10)-YEAR(Process!B92))*12)),0,Process!D92)</f>
        <v>0</v>
      </c>
      <c r="F92" s="77"/>
      <c r="G92" s="77" t="e">
        <f>VLOOKUP(F92,Plan!$B$12:$C$22,2)</f>
        <v>#N/A</v>
      </c>
      <c r="H92" s="77"/>
      <c r="I92" s="77"/>
      <c r="J92" s="77"/>
      <c r="K92" s="77"/>
    </row>
    <row r="93" spans="2:11" x14ac:dyDescent="0.3">
      <c r="B93" s="78"/>
      <c r="C93" s="77"/>
      <c r="D93" s="76"/>
      <c r="E93" s="76">
        <f>-FV(Plan!$H$4/12,-((MONTH(Plan!$E$10)-MONTH(Process!B93))+((YEAR(Plan!$E$10)-YEAR(Process!B93))*12)),0,Process!D93)</f>
        <v>0</v>
      </c>
      <c r="F93" s="77"/>
      <c r="G93" s="77" t="e">
        <f>VLOOKUP(F93,Plan!$B$12:$C$22,2)</f>
        <v>#N/A</v>
      </c>
      <c r="H93" s="77"/>
      <c r="I93" s="77"/>
      <c r="J93" s="77"/>
      <c r="K93" s="77"/>
    </row>
    <row r="94" spans="2:11" x14ac:dyDescent="0.3">
      <c r="B94" s="78"/>
      <c r="C94" s="77"/>
      <c r="D94" s="76"/>
      <c r="E94" s="76">
        <f>-FV(Plan!$H$4/12,-((MONTH(Plan!$E$10)-MONTH(Process!B94))+((YEAR(Plan!$E$10)-YEAR(Process!B94))*12)),0,Process!D94)</f>
        <v>0</v>
      </c>
      <c r="F94" s="77"/>
      <c r="G94" s="77" t="e">
        <f>VLOOKUP(F94,Plan!$B$12:$C$22,2)</f>
        <v>#N/A</v>
      </c>
      <c r="H94" s="77"/>
      <c r="I94" s="77"/>
      <c r="J94" s="77"/>
      <c r="K94" s="77"/>
    </row>
    <row r="95" spans="2:11" x14ac:dyDescent="0.3">
      <c r="B95" s="78"/>
      <c r="C95" s="77"/>
      <c r="D95" s="76"/>
      <c r="E95" s="76">
        <f>-FV(Plan!$H$4/12,-((MONTH(Plan!$E$10)-MONTH(Process!B95))+((YEAR(Plan!$E$10)-YEAR(Process!B95))*12)),0,Process!D95)</f>
        <v>0</v>
      </c>
      <c r="F95" s="77"/>
      <c r="G95" s="77" t="e">
        <f>VLOOKUP(F95,Plan!$B$12:$C$22,2)</f>
        <v>#N/A</v>
      </c>
      <c r="H95" s="77"/>
      <c r="I95" s="77"/>
      <c r="J95" s="77"/>
      <c r="K95" s="77"/>
    </row>
    <row r="96" spans="2:11" x14ac:dyDescent="0.3">
      <c r="B96" s="78"/>
      <c r="C96" s="77"/>
      <c r="D96" s="76"/>
      <c r="E96" s="76">
        <f>-FV(Plan!$H$4/12,-((MONTH(Plan!$E$10)-MONTH(Process!B96))+((YEAR(Plan!$E$10)-YEAR(Process!B96))*12)),0,Process!D96)</f>
        <v>0</v>
      </c>
      <c r="F96" s="77"/>
      <c r="G96" s="77" t="e">
        <f>VLOOKUP(F96,Plan!$B$12:$C$22,2)</f>
        <v>#N/A</v>
      </c>
      <c r="H96" s="77"/>
      <c r="I96" s="77"/>
      <c r="J96" s="77"/>
      <c r="K96" s="77"/>
    </row>
    <row r="97" spans="2:11" x14ac:dyDescent="0.3">
      <c r="B97" s="78"/>
      <c r="C97" s="77"/>
      <c r="D97" s="76"/>
      <c r="E97" s="76">
        <f>-FV(Plan!$H$4/12,-((MONTH(Plan!$E$10)-MONTH(Process!B97))+((YEAR(Plan!$E$10)-YEAR(Process!B97))*12)),0,Process!D97)</f>
        <v>0</v>
      </c>
      <c r="F97" s="77"/>
      <c r="G97" s="77" t="e">
        <f>VLOOKUP(F97,Plan!$B$12:$C$22,2)</f>
        <v>#N/A</v>
      </c>
      <c r="H97" s="77"/>
      <c r="I97" s="77"/>
      <c r="J97" s="77"/>
      <c r="K97" s="77"/>
    </row>
    <row r="98" spans="2:11" x14ac:dyDescent="0.3">
      <c r="B98" s="78"/>
      <c r="C98" s="77"/>
      <c r="D98" s="76"/>
      <c r="E98" s="76">
        <f>-FV(Plan!$H$4/12,-((MONTH(Plan!$E$10)-MONTH(Process!B98))+((YEAR(Plan!$E$10)-YEAR(Process!B98))*12)),0,Process!D98)</f>
        <v>0</v>
      </c>
      <c r="F98" s="77"/>
      <c r="G98" s="77" t="e">
        <f>VLOOKUP(F98,Plan!$B$12:$C$22,2)</f>
        <v>#N/A</v>
      </c>
      <c r="H98" s="77"/>
      <c r="I98" s="77"/>
      <c r="J98" s="77"/>
      <c r="K98" s="77"/>
    </row>
    <row r="99" spans="2:11" x14ac:dyDescent="0.3">
      <c r="B99" s="78"/>
      <c r="C99" s="77"/>
      <c r="D99" s="76"/>
      <c r="E99" s="76">
        <f>-FV(Plan!$H$4/12,-((MONTH(Plan!$E$10)-MONTH(Process!B99))+((YEAR(Plan!$E$10)-YEAR(Process!B99))*12)),0,Process!D99)</f>
        <v>0</v>
      </c>
      <c r="F99" s="77"/>
      <c r="G99" s="77" t="e">
        <f>VLOOKUP(F99,Plan!$B$12:$C$22,2)</f>
        <v>#N/A</v>
      </c>
      <c r="H99" s="77"/>
      <c r="I99" s="77"/>
      <c r="J99" s="77"/>
      <c r="K99" s="77"/>
    </row>
    <row r="100" spans="2:11" x14ac:dyDescent="0.3">
      <c r="B100" s="78"/>
      <c r="C100" s="77"/>
      <c r="D100" s="76"/>
      <c r="E100" s="76">
        <f>-FV(Plan!$H$4/12,-((MONTH(Plan!$E$10)-MONTH(Process!B100))+((YEAR(Plan!$E$10)-YEAR(Process!B100))*12)),0,Process!D100)</f>
        <v>0</v>
      </c>
      <c r="F100" s="77"/>
      <c r="G100" s="77" t="e">
        <f>VLOOKUP(F100,Plan!$B$12:$C$22,2)</f>
        <v>#N/A</v>
      </c>
      <c r="H100" s="77"/>
      <c r="I100" s="77"/>
      <c r="J100" s="77"/>
      <c r="K100" s="77"/>
    </row>
    <row r="101" spans="2:11" x14ac:dyDescent="0.3">
      <c r="B101" s="78"/>
      <c r="C101" s="77"/>
      <c r="D101" s="76"/>
      <c r="E101" s="76">
        <f>-FV(Plan!$H$4/12,-((MONTH(Plan!$E$10)-MONTH(Process!B101))+((YEAR(Plan!$E$10)-YEAR(Process!B101))*12)),0,Process!D101)</f>
        <v>0</v>
      </c>
      <c r="F101" s="77"/>
      <c r="G101" s="77" t="e">
        <f>VLOOKUP(F101,Plan!$B$12:$C$22,2)</f>
        <v>#N/A</v>
      </c>
      <c r="H101" s="77"/>
      <c r="I101" s="77"/>
      <c r="J101" s="77"/>
      <c r="K101" s="77"/>
    </row>
    <row r="102" spans="2:11" x14ac:dyDescent="0.3">
      <c r="B102" s="78"/>
      <c r="C102" s="77"/>
      <c r="D102" s="76"/>
      <c r="E102" s="76">
        <f>-FV(Plan!$H$4/12,-((MONTH(Plan!$E$10)-MONTH(Process!B102))+((YEAR(Plan!$E$10)-YEAR(Process!B102))*12)),0,Process!D102)</f>
        <v>0</v>
      </c>
      <c r="F102" s="77"/>
      <c r="G102" s="77" t="e">
        <f>VLOOKUP(F102,Plan!$B$12:$C$22,2)</f>
        <v>#N/A</v>
      </c>
      <c r="H102" s="77"/>
      <c r="I102" s="77"/>
      <c r="J102" s="77"/>
      <c r="K102" s="77"/>
    </row>
    <row r="103" spans="2:11" x14ac:dyDescent="0.3">
      <c r="B103" s="78"/>
      <c r="C103" s="77"/>
      <c r="D103" s="76"/>
      <c r="E103" s="76">
        <f>-FV(Plan!$H$4/12,-((MONTH(Plan!$E$10)-MONTH(Process!B103))+((YEAR(Plan!$E$10)-YEAR(Process!B103))*12)),0,Process!D103)</f>
        <v>0</v>
      </c>
      <c r="F103" s="77"/>
      <c r="G103" s="77" t="e">
        <f>VLOOKUP(F103,Plan!$B$12:$C$22,2)</f>
        <v>#N/A</v>
      </c>
      <c r="H103" s="77"/>
      <c r="I103" s="77"/>
      <c r="J103" s="77"/>
      <c r="K103" s="77"/>
    </row>
    <row r="104" spans="2:11" x14ac:dyDescent="0.3">
      <c r="B104" s="78"/>
      <c r="C104" s="77"/>
      <c r="D104" s="76"/>
      <c r="E104" s="76">
        <f>-FV(Plan!$H$4/12,-((MONTH(Plan!$E$10)-MONTH(Process!B104))+((YEAR(Plan!$E$10)-YEAR(Process!B104))*12)),0,Process!D104)</f>
        <v>0</v>
      </c>
      <c r="F104" s="77"/>
      <c r="G104" s="77" t="e">
        <f>VLOOKUP(F104,Plan!$B$12:$C$22,2)</f>
        <v>#N/A</v>
      </c>
      <c r="H104" s="77"/>
      <c r="I104" s="77"/>
      <c r="J104" s="77"/>
      <c r="K104" s="77"/>
    </row>
    <row r="105" spans="2:11" x14ac:dyDescent="0.3">
      <c r="B105" s="78"/>
      <c r="C105" s="77"/>
      <c r="D105" s="76"/>
      <c r="E105" s="76">
        <f>-FV(Plan!$H$4/12,-((MONTH(Plan!$E$10)-MONTH(Process!B105))+((YEAR(Plan!$E$10)-YEAR(Process!B105))*12)),0,Process!D105)</f>
        <v>0</v>
      </c>
      <c r="F105" s="77"/>
      <c r="G105" s="77" t="e">
        <f>VLOOKUP(F105,Plan!$B$12:$C$22,2)</f>
        <v>#N/A</v>
      </c>
      <c r="H105" s="77"/>
      <c r="I105" s="77"/>
      <c r="J105" s="77"/>
      <c r="K105" s="77"/>
    </row>
    <row r="106" spans="2:11" x14ac:dyDescent="0.3">
      <c r="B106" s="78"/>
      <c r="C106" s="77"/>
      <c r="D106" s="76"/>
      <c r="E106" s="76">
        <f>-FV(Plan!$H$4/12,-((MONTH(Plan!$E$10)-MONTH(Process!B106))+((YEAR(Plan!$E$10)-YEAR(Process!B106))*12)),0,Process!D106)</f>
        <v>0</v>
      </c>
      <c r="F106" s="77"/>
      <c r="G106" s="77" t="e">
        <f>VLOOKUP(F106,Plan!$B$12:$C$22,2)</f>
        <v>#N/A</v>
      </c>
      <c r="H106" s="77"/>
      <c r="I106" s="77"/>
      <c r="J106" s="77"/>
      <c r="K106" s="77"/>
    </row>
    <row r="107" spans="2:11" x14ac:dyDescent="0.3">
      <c r="B107" s="78"/>
      <c r="C107" s="77"/>
      <c r="D107" s="76"/>
      <c r="E107" s="76">
        <f>-FV(Plan!$H$4/12,-((MONTH(Plan!$E$10)-MONTH(Process!B107))+((YEAR(Plan!$E$10)-YEAR(Process!B107))*12)),0,Process!D107)</f>
        <v>0</v>
      </c>
      <c r="F107" s="77"/>
      <c r="G107" s="77" t="e">
        <f>VLOOKUP(F107,Plan!$B$12:$C$22,2)</f>
        <v>#N/A</v>
      </c>
      <c r="H107" s="77"/>
      <c r="I107" s="77"/>
      <c r="J107" s="77"/>
      <c r="K107" s="77"/>
    </row>
    <row r="108" spans="2:11" x14ac:dyDescent="0.3">
      <c r="B108" s="78"/>
      <c r="C108" s="77"/>
      <c r="D108" s="76"/>
      <c r="E108" s="76">
        <f>-FV(Plan!$H$4/12,-((MONTH(Plan!$E$10)-MONTH(Process!B108))+((YEAR(Plan!$E$10)-YEAR(Process!B108))*12)),0,Process!D108)</f>
        <v>0</v>
      </c>
      <c r="F108" s="77"/>
      <c r="G108" s="77" t="e">
        <f>VLOOKUP(F108,Plan!$B$12:$C$22,2)</f>
        <v>#N/A</v>
      </c>
      <c r="H108" s="77"/>
      <c r="I108" s="77"/>
      <c r="J108" s="77"/>
      <c r="K108" s="77"/>
    </row>
    <row r="109" spans="2:11" x14ac:dyDescent="0.3">
      <c r="B109" s="78"/>
      <c r="C109" s="77"/>
      <c r="D109" s="76"/>
      <c r="E109" s="76">
        <f>-FV(Plan!$H$4/12,-((MONTH(Plan!$E$10)-MONTH(Process!B109))+((YEAR(Plan!$E$10)-YEAR(Process!B109))*12)),0,Process!D109)</f>
        <v>0</v>
      </c>
      <c r="F109" s="77"/>
      <c r="G109" s="77" t="e">
        <f>VLOOKUP(F109,Plan!$B$12:$C$22,2)</f>
        <v>#N/A</v>
      </c>
      <c r="H109" s="77"/>
      <c r="I109" s="77"/>
      <c r="J109" s="77"/>
      <c r="K109" s="77"/>
    </row>
    <row r="110" spans="2:11" x14ac:dyDescent="0.3">
      <c r="B110" s="78"/>
      <c r="C110" s="77"/>
      <c r="D110" s="76"/>
      <c r="E110" s="76">
        <f>-FV(Plan!$H$4/12,-((MONTH(Plan!$E$10)-MONTH(Process!B110))+((YEAR(Plan!$E$10)-YEAR(Process!B110))*12)),0,Process!D110)</f>
        <v>0</v>
      </c>
      <c r="F110" s="77"/>
      <c r="G110" s="77" t="e">
        <f>VLOOKUP(F110,Plan!$B$12:$C$22,2)</f>
        <v>#N/A</v>
      </c>
      <c r="H110" s="77"/>
      <c r="I110" s="77"/>
      <c r="J110" s="77"/>
      <c r="K110" s="77"/>
    </row>
    <row r="111" spans="2:11" x14ac:dyDescent="0.3">
      <c r="B111" s="78"/>
      <c r="C111" s="77"/>
      <c r="D111" s="76"/>
      <c r="E111" s="76">
        <f>-FV(Plan!$H$4/12,-((MONTH(Plan!$E$10)-MONTH(Process!B111))+((YEAR(Plan!$E$10)-YEAR(Process!B111))*12)),0,Process!D111)</f>
        <v>0</v>
      </c>
      <c r="F111" s="77"/>
      <c r="G111" s="77" t="e">
        <f>VLOOKUP(F111,Plan!$B$12:$C$22,2)</f>
        <v>#N/A</v>
      </c>
      <c r="H111" s="77"/>
      <c r="I111" s="77"/>
      <c r="J111" s="77"/>
      <c r="K111" s="77"/>
    </row>
    <row r="112" spans="2:11" x14ac:dyDescent="0.3">
      <c r="B112" s="78"/>
      <c r="C112" s="77"/>
      <c r="D112" s="76"/>
      <c r="E112" s="76">
        <f>-FV(Plan!$H$4/12,-((MONTH(Plan!$E$10)-MONTH(Process!B112))+((YEAR(Plan!$E$10)-YEAR(Process!B112))*12)),0,Process!D112)</f>
        <v>0</v>
      </c>
      <c r="F112" s="77"/>
      <c r="G112" s="77" t="e">
        <f>VLOOKUP(F112,Plan!$B$12:$C$22,2)</f>
        <v>#N/A</v>
      </c>
      <c r="H112" s="77"/>
      <c r="I112" s="77"/>
      <c r="J112" s="77"/>
      <c r="K112" s="77"/>
    </row>
    <row r="113" spans="2:11" x14ac:dyDescent="0.3">
      <c r="B113" s="78"/>
      <c r="C113" s="77"/>
      <c r="D113" s="76"/>
      <c r="E113" s="76">
        <f>-FV(Plan!$H$4/12,-((MONTH(Plan!$E$10)-MONTH(Process!B113))+((YEAR(Plan!$E$10)-YEAR(Process!B113))*12)),0,Process!D113)</f>
        <v>0</v>
      </c>
      <c r="F113" s="77"/>
      <c r="G113" s="77" t="e">
        <f>VLOOKUP(F113,Plan!$B$12:$C$22,2)</f>
        <v>#N/A</v>
      </c>
      <c r="H113" s="77"/>
      <c r="I113" s="77"/>
      <c r="J113" s="77"/>
      <c r="K113" s="77"/>
    </row>
    <row r="114" spans="2:11" x14ac:dyDescent="0.3">
      <c r="B114" s="78"/>
      <c r="C114" s="77"/>
      <c r="D114" s="76"/>
      <c r="E114" s="76">
        <f>-FV(Plan!$H$4/12,-((MONTH(Plan!$E$10)-MONTH(Process!B114))+((YEAR(Plan!$E$10)-YEAR(Process!B114))*12)),0,Process!D114)</f>
        <v>0</v>
      </c>
      <c r="F114" s="77"/>
      <c r="G114" s="77" t="e">
        <f>VLOOKUP(F114,Plan!$B$12:$C$22,2)</f>
        <v>#N/A</v>
      </c>
      <c r="H114" s="77"/>
      <c r="I114" s="77"/>
      <c r="J114" s="77"/>
      <c r="K114" s="77"/>
    </row>
    <row r="115" spans="2:11" x14ac:dyDescent="0.3">
      <c r="B115" s="78"/>
      <c r="C115" s="77"/>
      <c r="D115" s="76"/>
      <c r="E115" s="76">
        <f>-FV(Plan!$H$4/12,-((MONTH(Plan!$E$10)-MONTH(Process!B115))+((YEAR(Plan!$E$10)-YEAR(Process!B115))*12)),0,Process!D115)</f>
        <v>0</v>
      </c>
      <c r="F115" s="77"/>
      <c r="G115" s="77" t="e">
        <f>VLOOKUP(F115,Plan!$B$12:$C$22,2)</f>
        <v>#N/A</v>
      </c>
      <c r="H115" s="77"/>
      <c r="I115" s="77"/>
      <c r="J115" s="77"/>
      <c r="K115" s="77"/>
    </row>
    <row r="116" spans="2:11" x14ac:dyDescent="0.3">
      <c r="B116" s="78"/>
      <c r="C116" s="77"/>
      <c r="D116" s="76"/>
      <c r="E116" s="76">
        <f>-FV(Plan!$H$4/12,-((MONTH(Plan!$E$10)-MONTH(Process!B116))+((YEAR(Plan!$E$10)-YEAR(Process!B116))*12)),0,Process!D116)</f>
        <v>0</v>
      </c>
      <c r="F116" s="77"/>
      <c r="G116" s="77" t="e">
        <f>VLOOKUP(F116,Plan!$B$12:$C$22,2)</f>
        <v>#N/A</v>
      </c>
      <c r="H116" s="77"/>
      <c r="I116" s="77"/>
      <c r="J116" s="77"/>
      <c r="K116" s="77"/>
    </row>
    <row r="117" spans="2:11" x14ac:dyDescent="0.3">
      <c r="B117" s="78"/>
      <c r="C117" s="77"/>
      <c r="D117" s="76"/>
      <c r="E117" s="76">
        <f>-FV(Plan!$H$4/12,-((MONTH(Plan!$E$10)-MONTH(Process!B117))+((YEAR(Plan!$E$10)-YEAR(Process!B117))*12)),0,Process!D117)</f>
        <v>0</v>
      </c>
      <c r="F117" s="77"/>
      <c r="G117" s="77" t="e">
        <f>VLOOKUP(F117,Plan!$B$12:$C$22,2)</f>
        <v>#N/A</v>
      </c>
      <c r="H117" s="77"/>
      <c r="I117" s="77"/>
      <c r="J117" s="77"/>
      <c r="K117" s="77"/>
    </row>
    <row r="118" spans="2:11" x14ac:dyDescent="0.3">
      <c r="B118" s="78"/>
      <c r="C118" s="77"/>
      <c r="D118" s="76"/>
      <c r="E118" s="76">
        <f>-FV(Plan!$H$4/12,-((MONTH(Plan!$E$10)-MONTH(Process!B118))+((YEAR(Plan!$E$10)-YEAR(Process!B118))*12)),0,Process!D118)</f>
        <v>0</v>
      </c>
      <c r="F118" s="77"/>
      <c r="G118" s="77" t="e">
        <f>VLOOKUP(F118,Plan!$B$12:$C$22,2)</f>
        <v>#N/A</v>
      </c>
      <c r="H118" s="77"/>
      <c r="I118" s="77"/>
      <c r="J118" s="77"/>
      <c r="K118" s="77"/>
    </row>
    <row r="119" spans="2:11" x14ac:dyDescent="0.3">
      <c r="B119" s="78"/>
      <c r="C119" s="77"/>
      <c r="D119" s="76"/>
      <c r="E119" s="76">
        <f>-FV(Plan!$H$4/12,-((MONTH(Plan!$E$10)-MONTH(Process!B119))+((YEAR(Plan!$E$10)-YEAR(Process!B119))*12)),0,Process!D119)</f>
        <v>0</v>
      </c>
      <c r="F119" s="77"/>
      <c r="G119" s="77" t="e">
        <f>VLOOKUP(F119,Plan!$B$12:$C$22,2)</f>
        <v>#N/A</v>
      </c>
      <c r="H119" s="77"/>
      <c r="I119" s="77"/>
      <c r="J119" s="77"/>
      <c r="K119" s="77"/>
    </row>
    <row r="120" spans="2:11" x14ac:dyDescent="0.3">
      <c r="B120" s="78"/>
      <c r="C120" s="77"/>
      <c r="D120" s="76"/>
      <c r="E120" s="76">
        <f>-FV(Plan!$H$4/12,-((MONTH(Plan!$E$10)-MONTH(Process!B120))+((YEAR(Plan!$E$10)-YEAR(Process!B120))*12)),0,Process!D120)</f>
        <v>0</v>
      </c>
      <c r="F120" s="77"/>
      <c r="G120" s="77" t="e">
        <f>VLOOKUP(F120,Plan!$B$12:$C$22,2)</f>
        <v>#N/A</v>
      </c>
      <c r="H120" s="77"/>
      <c r="I120" s="77"/>
      <c r="J120" s="77"/>
      <c r="K120" s="77"/>
    </row>
    <row r="121" spans="2:11" x14ac:dyDescent="0.3">
      <c r="B121" s="78"/>
      <c r="C121" s="77"/>
      <c r="D121" s="76"/>
      <c r="E121" s="76">
        <f>-FV(Plan!$H$4/12,-((MONTH(Plan!$E$10)-MONTH(Process!B121))+((YEAR(Plan!$E$10)-YEAR(Process!B121))*12)),0,Process!D121)</f>
        <v>0</v>
      </c>
      <c r="F121" s="77"/>
      <c r="G121" s="77" t="e">
        <f>VLOOKUP(F121,Plan!$B$12:$C$22,2)</f>
        <v>#N/A</v>
      </c>
      <c r="H121" s="77"/>
      <c r="I121" s="77"/>
      <c r="J121" s="77"/>
      <c r="K121" s="77"/>
    </row>
    <row r="122" spans="2:11" x14ac:dyDescent="0.3">
      <c r="B122" s="78"/>
      <c r="C122" s="77"/>
      <c r="D122" s="76"/>
      <c r="E122" s="76">
        <f>-FV(Plan!$H$4/12,-((MONTH(Plan!$E$10)-MONTH(Process!B122))+((YEAR(Plan!$E$10)-YEAR(Process!B122))*12)),0,Process!D122)</f>
        <v>0</v>
      </c>
      <c r="F122" s="77"/>
      <c r="G122" s="77" t="e">
        <f>VLOOKUP(F122,Plan!$B$12:$C$22,2)</f>
        <v>#N/A</v>
      </c>
      <c r="H122" s="77"/>
      <c r="I122" s="77"/>
      <c r="J122" s="77"/>
      <c r="K122" s="77"/>
    </row>
    <row r="123" spans="2:11" x14ac:dyDescent="0.3">
      <c r="B123" s="78"/>
      <c r="C123" s="77"/>
      <c r="D123" s="76"/>
      <c r="E123" s="76">
        <f>-FV(Plan!$H$4/12,-((MONTH(Plan!$E$10)-MONTH(Process!B123))+((YEAR(Plan!$E$10)-YEAR(Process!B123))*12)),0,Process!D123)</f>
        <v>0</v>
      </c>
      <c r="F123" s="77"/>
      <c r="G123" s="77" t="e">
        <f>VLOOKUP(F123,Plan!$B$12:$C$22,2)</f>
        <v>#N/A</v>
      </c>
      <c r="H123" s="77"/>
      <c r="I123" s="77"/>
      <c r="J123" s="77"/>
      <c r="K123" s="77"/>
    </row>
    <row r="124" spans="2:11" x14ac:dyDescent="0.3">
      <c r="B124" s="78"/>
      <c r="C124" s="77"/>
      <c r="D124" s="76"/>
      <c r="E124" s="76">
        <f>-FV(Plan!$H$4/12,-((MONTH(Plan!$E$10)-MONTH(Process!B124))+((YEAR(Plan!$E$10)-YEAR(Process!B124))*12)),0,Process!D124)</f>
        <v>0</v>
      </c>
      <c r="F124" s="77"/>
      <c r="G124" s="77" t="e">
        <f>VLOOKUP(F124,Plan!$B$12:$C$22,2)</f>
        <v>#N/A</v>
      </c>
      <c r="H124" s="77"/>
      <c r="I124" s="77"/>
      <c r="J124" s="77"/>
      <c r="K124" s="77"/>
    </row>
    <row r="125" spans="2:11" x14ac:dyDescent="0.3">
      <c r="B125" s="78"/>
      <c r="C125" s="77"/>
      <c r="D125" s="76"/>
      <c r="E125" s="76">
        <f>-FV(Plan!$H$4/12,-((MONTH(Plan!$E$10)-MONTH(Process!B125))+((YEAR(Plan!$E$10)-YEAR(Process!B125))*12)),0,Process!D125)</f>
        <v>0</v>
      </c>
      <c r="F125" s="77"/>
      <c r="G125" s="77" t="e">
        <f>VLOOKUP(F125,Plan!$B$12:$C$22,2)</f>
        <v>#N/A</v>
      </c>
      <c r="H125" s="77"/>
      <c r="I125" s="77"/>
      <c r="J125" s="77"/>
      <c r="K125" s="77"/>
    </row>
    <row r="126" spans="2:11" x14ac:dyDescent="0.3">
      <c r="B126" s="78"/>
      <c r="C126" s="77"/>
      <c r="D126" s="76"/>
      <c r="E126" s="76">
        <f>-FV(Plan!$H$4/12,-((MONTH(Plan!$E$10)-MONTH(Process!B126))+((YEAR(Plan!$E$10)-YEAR(Process!B126))*12)),0,Process!D126)</f>
        <v>0</v>
      </c>
      <c r="F126" s="77"/>
      <c r="G126" s="77" t="e">
        <f>VLOOKUP(F126,Plan!$B$12:$C$22,2)</f>
        <v>#N/A</v>
      </c>
      <c r="H126" s="77"/>
      <c r="I126" s="77"/>
      <c r="J126" s="77"/>
      <c r="K126" s="77"/>
    </row>
    <row r="127" spans="2:11" x14ac:dyDescent="0.3">
      <c r="B127" s="78"/>
      <c r="C127" s="77"/>
      <c r="D127" s="76"/>
      <c r="E127" s="76">
        <f>-FV(Plan!$H$4/12,-((MONTH(Plan!$E$10)-MONTH(Process!B127))+((YEAR(Plan!$E$10)-YEAR(Process!B127))*12)),0,Process!D127)</f>
        <v>0</v>
      </c>
      <c r="F127" s="77"/>
      <c r="G127" s="77" t="e">
        <f>VLOOKUP(F127,Plan!$B$12:$C$22,2)</f>
        <v>#N/A</v>
      </c>
      <c r="H127" s="77"/>
      <c r="I127" s="77"/>
      <c r="J127" s="77"/>
      <c r="K127" s="77"/>
    </row>
    <row r="128" spans="2:11" x14ac:dyDescent="0.3">
      <c r="B128" s="78"/>
      <c r="C128" s="77"/>
      <c r="D128" s="76"/>
      <c r="E128" s="76">
        <f>-FV(Plan!$H$4/12,-((MONTH(Plan!$E$10)-MONTH(Process!B128))+((YEAR(Plan!$E$10)-YEAR(Process!B128))*12)),0,Process!D128)</f>
        <v>0</v>
      </c>
      <c r="F128" s="77"/>
      <c r="G128" s="77" t="e">
        <f>VLOOKUP(F128,Plan!$B$12:$C$22,2)</f>
        <v>#N/A</v>
      </c>
      <c r="H128" s="77"/>
      <c r="I128" s="77"/>
      <c r="J128" s="77"/>
      <c r="K128" s="77"/>
    </row>
    <row r="129" spans="2:11" x14ac:dyDescent="0.3">
      <c r="B129" s="78"/>
      <c r="C129" s="77"/>
      <c r="D129" s="76"/>
      <c r="E129" s="76">
        <f>-FV(Plan!$H$4/12,-((MONTH(Plan!$E$10)-MONTH(Process!B129))+((YEAR(Plan!$E$10)-YEAR(Process!B129))*12)),0,Process!D129)</f>
        <v>0</v>
      </c>
      <c r="F129" s="77"/>
      <c r="G129" s="77" t="e">
        <f>VLOOKUP(F129,Plan!$B$12:$C$22,2)</f>
        <v>#N/A</v>
      </c>
      <c r="H129" s="77"/>
      <c r="I129" s="77"/>
      <c r="J129" s="77"/>
      <c r="K129" s="77"/>
    </row>
    <row r="130" spans="2:11" x14ac:dyDescent="0.3">
      <c r="B130" s="78"/>
      <c r="C130" s="77"/>
      <c r="D130" s="76"/>
      <c r="E130" s="76">
        <f>-FV(Plan!$H$4/12,-((MONTH(Plan!$E$10)-MONTH(Process!B130))+((YEAR(Plan!$E$10)-YEAR(Process!B130))*12)),0,Process!D130)</f>
        <v>0</v>
      </c>
      <c r="F130" s="77"/>
      <c r="G130" s="77" t="e">
        <f>VLOOKUP(F130,Plan!$B$12:$C$22,2)</f>
        <v>#N/A</v>
      </c>
      <c r="H130" s="77"/>
      <c r="I130" s="77"/>
      <c r="J130" s="77"/>
      <c r="K130" s="77"/>
    </row>
    <row r="131" spans="2:11" x14ac:dyDescent="0.3">
      <c r="B131" s="78"/>
      <c r="C131" s="77"/>
      <c r="D131" s="76"/>
      <c r="E131" s="76">
        <f>-FV(Plan!$H$4/12,-((MONTH(Plan!$E$10)-MONTH(Process!B131))+((YEAR(Plan!$E$10)-YEAR(Process!B131))*12)),0,Process!D131)</f>
        <v>0</v>
      </c>
      <c r="F131" s="77"/>
      <c r="G131" s="77" t="e">
        <f>VLOOKUP(F131,Plan!$B$12:$C$22,2)</f>
        <v>#N/A</v>
      </c>
      <c r="H131" s="77"/>
      <c r="I131" s="77"/>
      <c r="J131" s="77"/>
      <c r="K131" s="77"/>
    </row>
    <row r="132" spans="2:11" x14ac:dyDescent="0.3">
      <c r="B132" s="78"/>
      <c r="C132" s="77"/>
      <c r="D132" s="76"/>
      <c r="E132" s="76">
        <f>-FV(Plan!$H$4/12,-((MONTH(Plan!$E$10)-MONTH(Process!B132))+((YEAR(Plan!$E$10)-YEAR(Process!B132))*12)),0,Process!D132)</f>
        <v>0</v>
      </c>
      <c r="F132" s="77"/>
      <c r="G132" s="77" t="e">
        <f>VLOOKUP(F132,Plan!$B$12:$C$22,2)</f>
        <v>#N/A</v>
      </c>
      <c r="H132" s="77"/>
      <c r="I132" s="77"/>
      <c r="J132" s="77"/>
      <c r="K132" s="77"/>
    </row>
    <row r="133" spans="2:11" x14ac:dyDescent="0.3">
      <c r="B133" s="78"/>
      <c r="C133" s="77"/>
      <c r="D133" s="76"/>
      <c r="E133" s="76">
        <f>-FV(Plan!$H$4/12,-((MONTH(Plan!$E$10)-MONTH(Process!B133))+((YEAR(Plan!$E$10)-YEAR(Process!B133))*12)),0,Process!D133)</f>
        <v>0</v>
      </c>
      <c r="F133" s="77"/>
      <c r="G133" s="77" t="e">
        <f>VLOOKUP(F133,Plan!$B$12:$C$22,2)</f>
        <v>#N/A</v>
      </c>
      <c r="H133" s="77"/>
      <c r="I133" s="77"/>
      <c r="J133" s="77"/>
      <c r="K133" s="77"/>
    </row>
    <row r="134" spans="2:11" x14ac:dyDescent="0.3">
      <c r="B134" s="78"/>
      <c r="C134" s="77"/>
      <c r="D134" s="76"/>
      <c r="E134" s="76">
        <f>-FV(Plan!$H$4/12,-((MONTH(Plan!$E$10)-MONTH(Process!B134))+((YEAR(Plan!$E$10)-YEAR(Process!B134))*12)),0,Process!D134)</f>
        <v>0</v>
      </c>
      <c r="F134" s="77"/>
      <c r="G134" s="77" t="e">
        <f>VLOOKUP(F134,Plan!$B$12:$C$22,2)</f>
        <v>#N/A</v>
      </c>
      <c r="H134" s="77"/>
      <c r="I134" s="77"/>
      <c r="J134" s="77"/>
      <c r="K134" s="77"/>
    </row>
    <row r="135" spans="2:11" x14ac:dyDescent="0.3">
      <c r="B135" s="78"/>
      <c r="C135" s="77"/>
      <c r="D135" s="76"/>
      <c r="E135" s="76">
        <f>-FV(Plan!$H$4/12,-((MONTH(Plan!$E$10)-MONTH(Process!B135))+((YEAR(Plan!$E$10)-YEAR(Process!B135))*12)),0,Process!D135)</f>
        <v>0</v>
      </c>
      <c r="F135" s="77"/>
      <c r="G135" s="77" t="e">
        <f>VLOOKUP(F135,Plan!$B$12:$C$22,2)</f>
        <v>#N/A</v>
      </c>
      <c r="H135" s="77"/>
      <c r="I135" s="77"/>
      <c r="J135" s="77"/>
      <c r="K135" s="77"/>
    </row>
    <row r="136" spans="2:11" x14ac:dyDescent="0.3">
      <c r="B136" s="78"/>
      <c r="C136" s="77"/>
      <c r="D136" s="76"/>
      <c r="E136" s="76">
        <f>-FV(Plan!$H$4/12,-((MONTH(Plan!$E$10)-MONTH(Process!B136))+((YEAR(Plan!$E$10)-YEAR(Process!B136))*12)),0,Process!D136)</f>
        <v>0</v>
      </c>
      <c r="F136" s="77"/>
      <c r="G136" s="77" t="e">
        <f>VLOOKUP(F136,Plan!$B$12:$C$22,2)</f>
        <v>#N/A</v>
      </c>
      <c r="H136" s="77"/>
      <c r="I136" s="77"/>
      <c r="J136" s="77"/>
      <c r="K136" s="77"/>
    </row>
    <row r="137" spans="2:11" x14ac:dyDescent="0.3">
      <c r="B137" s="78"/>
      <c r="C137" s="77"/>
      <c r="D137" s="76"/>
      <c r="E137" s="76">
        <f>-FV(Plan!$H$4/12,-((MONTH(Plan!$E$10)-MONTH(Process!B137))+((YEAR(Plan!$E$10)-YEAR(Process!B137))*12)),0,Process!D137)</f>
        <v>0</v>
      </c>
      <c r="F137" s="77"/>
      <c r="G137" s="77" t="e">
        <f>VLOOKUP(F137,Plan!$B$12:$C$22,2)</f>
        <v>#N/A</v>
      </c>
      <c r="H137" s="77"/>
      <c r="I137" s="77"/>
      <c r="J137" s="77"/>
      <c r="K137" s="77"/>
    </row>
    <row r="138" spans="2:11" x14ac:dyDescent="0.3">
      <c r="B138" s="78"/>
      <c r="C138" s="77"/>
      <c r="D138" s="76"/>
      <c r="E138" s="76">
        <f>-FV(Plan!$H$4/12,-((MONTH(Plan!$E$10)-MONTH(Process!B138))+((YEAR(Plan!$E$10)-YEAR(Process!B138))*12)),0,Process!D138)</f>
        <v>0</v>
      </c>
      <c r="F138" s="77"/>
      <c r="G138" s="77" t="e">
        <f>VLOOKUP(F138,Plan!$B$12:$C$22,2)</f>
        <v>#N/A</v>
      </c>
      <c r="H138" s="77"/>
      <c r="I138" s="77"/>
      <c r="J138" s="77"/>
      <c r="K138" s="77"/>
    </row>
    <row r="139" spans="2:11" x14ac:dyDescent="0.3">
      <c r="B139" s="78"/>
      <c r="C139" s="77"/>
      <c r="D139" s="76"/>
      <c r="E139" s="76">
        <f>-FV(Plan!$H$4/12,-((MONTH(Plan!$E$10)-MONTH(Process!B139))+((YEAR(Plan!$E$10)-YEAR(Process!B139))*12)),0,Process!D139)</f>
        <v>0</v>
      </c>
      <c r="F139" s="77"/>
      <c r="G139" s="77" t="e">
        <f>VLOOKUP(F139,Plan!$B$12:$C$22,2)</f>
        <v>#N/A</v>
      </c>
      <c r="H139" s="77"/>
      <c r="I139" s="77"/>
      <c r="J139" s="77"/>
      <c r="K139" s="77"/>
    </row>
    <row r="140" spans="2:11" x14ac:dyDescent="0.3">
      <c r="B140" s="78"/>
      <c r="C140" s="77"/>
      <c r="D140" s="76"/>
      <c r="E140" s="76">
        <f>-FV(Plan!$H$4/12,-((MONTH(Plan!$E$10)-MONTH(Process!B140))+((YEAR(Plan!$E$10)-YEAR(Process!B140))*12)),0,Process!D140)</f>
        <v>0</v>
      </c>
      <c r="F140" s="77"/>
      <c r="G140" s="77" t="e">
        <f>VLOOKUP(F140,Plan!$B$12:$C$22,2)</f>
        <v>#N/A</v>
      </c>
      <c r="H140" s="77"/>
      <c r="I140" s="77"/>
      <c r="J140" s="77"/>
      <c r="K140" s="77"/>
    </row>
    <row r="141" spans="2:11" x14ac:dyDescent="0.3">
      <c r="B141" s="78"/>
      <c r="C141" s="77"/>
      <c r="D141" s="76"/>
      <c r="E141" s="76">
        <f>-FV(Plan!$H$4/12,-((MONTH(Plan!$E$10)-MONTH(Process!B141))+((YEAR(Plan!$E$10)-YEAR(Process!B141))*12)),0,Process!D141)</f>
        <v>0</v>
      </c>
      <c r="F141" s="77"/>
      <c r="G141" s="77" t="e">
        <f>VLOOKUP(F141,Plan!$B$12:$C$22,2)</f>
        <v>#N/A</v>
      </c>
      <c r="H141" s="77"/>
      <c r="I141" s="77"/>
      <c r="J141" s="77"/>
      <c r="K141" s="77"/>
    </row>
    <row r="142" spans="2:11" x14ac:dyDescent="0.3">
      <c r="B142" s="78"/>
      <c r="C142" s="77"/>
      <c r="D142" s="76"/>
      <c r="E142" s="76">
        <f>-FV(Plan!$H$4/12,-((MONTH(Plan!$E$10)-MONTH(Process!B142))+((YEAR(Plan!$E$10)-YEAR(Process!B142))*12)),0,Process!D142)</f>
        <v>0</v>
      </c>
      <c r="F142" s="77"/>
      <c r="G142" s="77" t="e">
        <f>VLOOKUP(F142,Plan!$B$12:$C$22,2)</f>
        <v>#N/A</v>
      </c>
      <c r="H142" s="77"/>
      <c r="I142" s="77"/>
      <c r="J142" s="77"/>
      <c r="K142" s="77"/>
    </row>
    <row r="143" spans="2:11" x14ac:dyDescent="0.3">
      <c r="B143" s="78"/>
      <c r="C143" s="77"/>
      <c r="D143" s="76"/>
      <c r="E143" s="76">
        <f>-FV(Plan!$H$4/12,-((MONTH(Plan!$E$10)-MONTH(Process!B143))+((YEAR(Plan!$E$10)-YEAR(Process!B143))*12)),0,Process!D143)</f>
        <v>0</v>
      </c>
      <c r="F143" s="77"/>
      <c r="G143" s="77" t="e">
        <f>VLOOKUP(F143,Plan!$B$12:$C$22,2)</f>
        <v>#N/A</v>
      </c>
      <c r="H143" s="77"/>
      <c r="I143" s="77"/>
      <c r="J143" s="77"/>
      <c r="K143" s="77"/>
    </row>
    <row r="144" spans="2:11" x14ac:dyDescent="0.3">
      <c r="B144" s="78"/>
      <c r="C144" s="77"/>
      <c r="D144" s="76"/>
      <c r="E144" s="76">
        <f>-FV(Plan!$H$4/12,-((MONTH(Plan!$E$10)-MONTH(Process!B144))+((YEAR(Plan!$E$10)-YEAR(Process!B144))*12)),0,Process!D144)</f>
        <v>0</v>
      </c>
      <c r="F144" s="77"/>
      <c r="G144" s="77" t="e">
        <f>VLOOKUP(F144,Plan!$B$12:$C$22,2)</f>
        <v>#N/A</v>
      </c>
      <c r="H144" s="77"/>
      <c r="I144" s="77"/>
      <c r="J144" s="77"/>
      <c r="K144" s="77"/>
    </row>
    <row r="145" spans="2:11" x14ac:dyDescent="0.3">
      <c r="B145" s="78"/>
      <c r="C145" s="77"/>
      <c r="D145" s="76"/>
      <c r="E145" s="76">
        <f>-FV(Plan!$H$4/12,-((MONTH(Plan!$E$10)-MONTH(Process!B145))+((YEAR(Plan!$E$10)-YEAR(Process!B145))*12)),0,Process!D145)</f>
        <v>0</v>
      </c>
      <c r="F145" s="77"/>
      <c r="G145" s="77" t="e">
        <f>VLOOKUP(F145,Plan!$B$12:$C$22,2)</f>
        <v>#N/A</v>
      </c>
      <c r="H145" s="77"/>
      <c r="I145" s="77"/>
      <c r="J145" s="77"/>
      <c r="K145" s="77"/>
    </row>
    <row r="146" spans="2:11" x14ac:dyDescent="0.3">
      <c r="B146" s="78"/>
      <c r="C146" s="77"/>
      <c r="D146" s="76"/>
      <c r="E146" s="76">
        <f>-FV(Plan!$H$4/12,-((MONTH(Plan!$E$10)-MONTH(Process!B146))+((YEAR(Plan!$E$10)-YEAR(Process!B146))*12)),0,Process!D146)</f>
        <v>0</v>
      </c>
      <c r="F146" s="77"/>
      <c r="G146" s="77" t="e">
        <f>VLOOKUP(F146,Plan!$B$12:$C$22,2)</f>
        <v>#N/A</v>
      </c>
      <c r="H146" s="77"/>
      <c r="I146" s="77"/>
      <c r="J146" s="77"/>
      <c r="K146" s="77"/>
    </row>
    <row r="147" spans="2:11" x14ac:dyDescent="0.3">
      <c r="B147" s="78"/>
      <c r="C147" s="77"/>
      <c r="D147" s="76"/>
      <c r="E147" s="76">
        <f>-FV(Plan!$H$4/12,-((MONTH(Plan!$E$10)-MONTH(Process!B147))+((YEAR(Plan!$E$10)-YEAR(Process!B147))*12)),0,Process!D147)</f>
        <v>0</v>
      </c>
      <c r="F147" s="77"/>
      <c r="G147" s="77" t="e">
        <f>VLOOKUP(F147,Plan!$B$12:$C$22,2)</f>
        <v>#N/A</v>
      </c>
      <c r="H147" s="77"/>
      <c r="I147" s="77"/>
      <c r="J147" s="77"/>
      <c r="K147" s="77"/>
    </row>
    <row r="148" spans="2:11" x14ac:dyDescent="0.3">
      <c r="B148" s="78"/>
      <c r="C148" s="77"/>
      <c r="D148" s="76"/>
      <c r="E148" s="76">
        <f>-FV(Plan!$H$4/12,-((MONTH(Plan!$E$10)-MONTH(Process!B148))+((YEAR(Plan!$E$10)-YEAR(Process!B148))*12)),0,Process!D148)</f>
        <v>0</v>
      </c>
      <c r="F148" s="77"/>
      <c r="G148" s="77" t="e">
        <f>VLOOKUP(F148,Plan!$B$12:$C$22,2)</f>
        <v>#N/A</v>
      </c>
      <c r="H148" s="77"/>
      <c r="I148" s="77"/>
      <c r="J148" s="77"/>
      <c r="K148" s="77"/>
    </row>
    <row r="149" spans="2:11" x14ac:dyDescent="0.3">
      <c r="B149" s="78"/>
      <c r="C149" s="77"/>
      <c r="D149" s="76"/>
      <c r="E149" s="76">
        <f>-FV(Plan!$H$4/12,-((MONTH(Plan!$E$10)-MONTH(Process!B149))+((YEAR(Plan!$E$10)-YEAR(Process!B149))*12)),0,Process!D149)</f>
        <v>0</v>
      </c>
      <c r="F149" s="77"/>
      <c r="G149" s="77" t="e">
        <f>VLOOKUP(F149,Plan!$B$12:$C$22,2)</f>
        <v>#N/A</v>
      </c>
      <c r="H149" s="77"/>
      <c r="I149" s="77"/>
      <c r="J149" s="77"/>
      <c r="K149" s="77"/>
    </row>
    <row r="150" spans="2:11" x14ac:dyDescent="0.3">
      <c r="B150" s="78"/>
      <c r="C150" s="77"/>
      <c r="D150" s="76"/>
      <c r="E150" s="76">
        <f>-FV(Plan!$H$4/12,-((MONTH(Plan!$E$10)-MONTH(Process!B150))+((YEAR(Plan!$E$10)-YEAR(Process!B150))*12)),0,Process!D150)</f>
        <v>0</v>
      </c>
      <c r="F150" s="77"/>
      <c r="G150" s="77" t="e">
        <f>VLOOKUP(F150,Plan!$B$12:$C$22,2)</f>
        <v>#N/A</v>
      </c>
      <c r="H150" s="77"/>
      <c r="I150" s="77"/>
      <c r="J150" s="77"/>
      <c r="K150" s="77"/>
    </row>
    <row r="151" spans="2:11" x14ac:dyDescent="0.3">
      <c r="B151" s="78"/>
      <c r="C151" s="77"/>
      <c r="D151" s="76"/>
      <c r="E151" s="76">
        <f>-FV(Plan!$H$4/12,-((MONTH(Plan!$E$10)-MONTH(Process!B151))+((YEAR(Plan!$E$10)-YEAR(Process!B151))*12)),0,Process!D151)</f>
        <v>0</v>
      </c>
      <c r="F151" s="77"/>
      <c r="G151" s="77" t="e">
        <f>VLOOKUP(F151,Plan!$B$12:$C$22,2)</f>
        <v>#N/A</v>
      </c>
      <c r="H151" s="77"/>
      <c r="I151" s="77"/>
      <c r="J151" s="77"/>
      <c r="K151" s="77"/>
    </row>
    <row r="152" spans="2:11" x14ac:dyDescent="0.3">
      <c r="B152" s="78"/>
      <c r="C152" s="77"/>
      <c r="D152" s="76"/>
      <c r="E152" s="76">
        <f>-FV(Plan!$H$4/12,-((MONTH(Plan!$E$10)-MONTH(Process!B152))+((YEAR(Plan!$E$10)-YEAR(Process!B152))*12)),0,Process!D152)</f>
        <v>0</v>
      </c>
      <c r="F152" s="77"/>
      <c r="G152" s="77" t="e">
        <f>VLOOKUP(F152,Plan!$B$12:$C$22,2)</f>
        <v>#N/A</v>
      </c>
      <c r="H152" s="77"/>
      <c r="I152" s="77"/>
      <c r="J152" s="77"/>
      <c r="K152" s="77"/>
    </row>
    <row r="153" spans="2:11" x14ac:dyDescent="0.3">
      <c r="B153" s="78"/>
      <c r="C153" s="77"/>
      <c r="D153" s="76"/>
      <c r="E153" s="76">
        <f>-FV(Plan!$H$4/12,-((MONTH(Plan!$E$10)-MONTH(Process!B153))+((YEAR(Plan!$E$10)-YEAR(Process!B153))*12)),0,Process!D153)</f>
        <v>0</v>
      </c>
      <c r="F153" s="77"/>
      <c r="G153" s="77" t="e">
        <f>VLOOKUP(F153,Plan!$B$12:$C$22,2)</f>
        <v>#N/A</v>
      </c>
      <c r="H153" s="77"/>
      <c r="I153" s="77"/>
      <c r="J153" s="77"/>
      <c r="K153" s="77"/>
    </row>
    <row r="154" spans="2:11" x14ac:dyDescent="0.3">
      <c r="B154" s="78"/>
      <c r="C154" s="77"/>
      <c r="D154" s="76"/>
      <c r="E154" s="76">
        <f>-FV(Plan!$H$4/12,-((MONTH(Plan!$E$10)-MONTH(Process!B154))+((YEAR(Plan!$E$10)-YEAR(Process!B154))*12)),0,Process!D154)</f>
        <v>0</v>
      </c>
      <c r="F154" s="77"/>
      <c r="G154" s="77" t="e">
        <f>VLOOKUP(F154,Plan!$B$12:$C$22,2)</f>
        <v>#N/A</v>
      </c>
      <c r="H154" s="77"/>
      <c r="I154" s="77"/>
      <c r="J154" s="77"/>
      <c r="K154" s="77"/>
    </row>
    <row r="155" spans="2:11" x14ac:dyDescent="0.3">
      <c r="B155" s="78"/>
      <c r="C155" s="77"/>
      <c r="D155" s="76"/>
      <c r="E155" s="76">
        <f>-FV(Plan!$H$4/12,-((MONTH(Plan!$E$10)-MONTH(Process!B155))+((YEAR(Plan!$E$10)-YEAR(Process!B155))*12)),0,Process!D155)</f>
        <v>0</v>
      </c>
      <c r="F155" s="77"/>
      <c r="G155" s="77" t="e">
        <f>VLOOKUP(F155,Plan!$B$12:$C$22,2)</f>
        <v>#N/A</v>
      </c>
      <c r="H155" s="77"/>
      <c r="I155" s="77"/>
      <c r="J155" s="77"/>
      <c r="K155" s="77"/>
    </row>
    <row r="156" spans="2:11" x14ac:dyDescent="0.3">
      <c r="B156" s="78"/>
      <c r="C156" s="77"/>
      <c r="D156" s="76"/>
      <c r="E156" s="76">
        <f>-FV(Plan!$H$4/12,-((MONTH(Plan!$E$10)-MONTH(Process!B156))+((YEAR(Plan!$E$10)-YEAR(Process!B156))*12)),0,Process!D156)</f>
        <v>0</v>
      </c>
      <c r="F156" s="77"/>
      <c r="G156" s="77" t="e">
        <f>VLOOKUP(F156,Plan!$B$12:$C$22,2)</f>
        <v>#N/A</v>
      </c>
      <c r="H156" s="77"/>
      <c r="I156" s="77"/>
      <c r="J156" s="77"/>
      <c r="K156" s="77"/>
    </row>
    <row r="157" spans="2:11" x14ac:dyDescent="0.3">
      <c r="B157" s="78"/>
      <c r="C157" s="77"/>
      <c r="D157" s="76"/>
      <c r="E157" s="76">
        <f>-FV(Plan!$H$4/12,-((MONTH(Plan!$E$10)-MONTH(Process!B157))+((YEAR(Plan!$E$10)-YEAR(Process!B157))*12)),0,Process!D157)</f>
        <v>0</v>
      </c>
      <c r="F157" s="77"/>
      <c r="G157" s="77" t="e">
        <f>VLOOKUP(F157,Plan!$B$12:$C$22,2)</f>
        <v>#N/A</v>
      </c>
      <c r="H157" s="77"/>
      <c r="I157" s="77"/>
      <c r="J157" s="77"/>
      <c r="K157" s="77"/>
    </row>
    <row r="158" spans="2:11" x14ac:dyDescent="0.3">
      <c r="B158" s="78"/>
      <c r="C158" s="77"/>
      <c r="D158" s="76"/>
      <c r="E158" s="76">
        <f>-FV(Plan!$H$4/12,-((MONTH(Plan!$E$10)-MONTH(Process!B158))+((YEAR(Plan!$E$10)-YEAR(Process!B158))*12)),0,Process!D158)</f>
        <v>0</v>
      </c>
      <c r="F158" s="77"/>
      <c r="G158" s="77" t="e">
        <f>VLOOKUP(F158,Plan!$B$12:$C$22,2)</f>
        <v>#N/A</v>
      </c>
      <c r="H158" s="77"/>
      <c r="I158" s="77"/>
      <c r="J158" s="77"/>
      <c r="K158" s="77"/>
    </row>
    <row r="159" spans="2:11" x14ac:dyDescent="0.3">
      <c r="B159" s="78"/>
      <c r="C159" s="77"/>
      <c r="D159" s="76"/>
      <c r="E159" s="76">
        <f>-FV(Plan!$H$4/12,-((MONTH(Plan!$E$10)-MONTH(Process!B159))+((YEAR(Plan!$E$10)-YEAR(Process!B159))*12)),0,Process!D159)</f>
        <v>0</v>
      </c>
      <c r="F159" s="77"/>
      <c r="G159" s="77" t="e">
        <f>VLOOKUP(F159,Plan!$B$12:$C$22,2)</f>
        <v>#N/A</v>
      </c>
      <c r="H159" s="77"/>
      <c r="I159" s="77"/>
      <c r="J159" s="77"/>
      <c r="K159" s="77"/>
    </row>
    <row r="160" spans="2:11" x14ac:dyDescent="0.3">
      <c r="B160" s="78"/>
      <c r="C160" s="77"/>
      <c r="D160" s="76"/>
      <c r="E160" s="76">
        <f>-FV(Plan!$H$4/12,-((MONTH(Plan!$E$10)-MONTH(Process!B160))+((YEAR(Plan!$E$10)-YEAR(Process!B160))*12)),0,Process!D160)</f>
        <v>0</v>
      </c>
      <c r="F160" s="77"/>
      <c r="G160" s="77" t="e">
        <f>VLOOKUP(F160,Plan!$B$12:$C$22,2)</f>
        <v>#N/A</v>
      </c>
      <c r="H160" s="77"/>
      <c r="I160" s="77"/>
      <c r="J160" s="77"/>
      <c r="K160" s="77"/>
    </row>
    <row r="161" spans="2:11" x14ac:dyDescent="0.3">
      <c r="B161" s="78"/>
      <c r="C161" s="77"/>
      <c r="D161" s="76"/>
      <c r="E161" s="76">
        <f>-FV(Plan!$H$4/12,-((MONTH(Plan!$E$10)-MONTH(Process!B161))+((YEAR(Plan!$E$10)-YEAR(Process!B161))*12)),0,Process!D161)</f>
        <v>0</v>
      </c>
      <c r="F161" s="77"/>
      <c r="G161" s="77" t="e">
        <f>VLOOKUP(F161,Plan!$B$12:$C$22,2)</f>
        <v>#N/A</v>
      </c>
      <c r="H161" s="77"/>
      <c r="I161" s="77"/>
      <c r="J161" s="77"/>
      <c r="K161" s="77"/>
    </row>
    <row r="162" spans="2:11" x14ac:dyDescent="0.3">
      <c r="B162" s="78"/>
      <c r="C162" s="77"/>
      <c r="D162" s="76"/>
      <c r="E162" s="76">
        <f>-FV(Plan!$H$4/12,-((MONTH(Plan!$E$10)-MONTH(Process!B162))+((YEAR(Plan!$E$10)-YEAR(Process!B162))*12)),0,Process!D162)</f>
        <v>0</v>
      </c>
      <c r="F162" s="77"/>
      <c r="G162" s="77" t="e">
        <f>VLOOKUP(F162,Plan!$B$12:$C$22,2)</f>
        <v>#N/A</v>
      </c>
      <c r="H162" s="77"/>
      <c r="I162" s="77"/>
      <c r="J162" s="77"/>
      <c r="K162" s="77"/>
    </row>
    <row r="163" spans="2:11" x14ac:dyDescent="0.3">
      <c r="B163" s="78"/>
      <c r="C163" s="77"/>
      <c r="D163" s="76"/>
      <c r="E163" s="76">
        <f>-FV(Plan!$H$4/12,-((MONTH(Plan!$E$10)-MONTH(Process!B163))+((YEAR(Plan!$E$10)-YEAR(Process!B163))*12)),0,Process!D163)</f>
        <v>0</v>
      </c>
      <c r="F163" s="77"/>
      <c r="G163" s="77" t="e">
        <f>VLOOKUP(F163,Plan!$B$12:$C$22,2)</f>
        <v>#N/A</v>
      </c>
      <c r="H163" s="77"/>
      <c r="I163" s="77"/>
      <c r="J163" s="77"/>
      <c r="K163" s="77"/>
    </row>
    <row r="164" spans="2:11" x14ac:dyDescent="0.3">
      <c r="B164" s="78"/>
      <c r="C164" s="77"/>
      <c r="D164" s="76"/>
      <c r="E164" s="76">
        <f>-FV(Plan!$H$4/12,-((MONTH(Plan!$E$10)-MONTH(Process!B164))+((YEAR(Plan!$E$10)-YEAR(Process!B164))*12)),0,Process!D164)</f>
        <v>0</v>
      </c>
      <c r="F164" s="77"/>
      <c r="G164" s="77" t="e">
        <f>VLOOKUP(F164,Plan!$B$12:$C$22,2)</f>
        <v>#N/A</v>
      </c>
      <c r="H164" s="77"/>
      <c r="I164" s="77"/>
      <c r="J164" s="77"/>
      <c r="K164" s="77"/>
    </row>
    <row r="165" spans="2:11" x14ac:dyDescent="0.3">
      <c r="B165" s="78"/>
      <c r="C165" s="77"/>
      <c r="D165" s="76"/>
      <c r="E165" s="76">
        <f>-FV(Plan!$H$4/12,-((MONTH(Plan!$E$10)-MONTH(Process!B165))+((YEAR(Plan!$E$10)-YEAR(Process!B165))*12)),0,Process!D165)</f>
        <v>0</v>
      </c>
      <c r="F165" s="77"/>
      <c r="G165" s="77" t="e">
        <f>VLOOKUP(F165,Plan!$B$12:$C$22,2)</f>
        <v>#N/A</v>
      </c>
      <c r="H165" s="77"/>
      <c r="I165" s="77"/>
      <c r="J165" s="77"/>
      <c r="K165" s="77"/>
    </row>
    <row r="166" spans="2:11" x14ac:dyDescent="0.3">
      <c r="B166" s="78"/>
      <c r="C166" s="77"/>
      <c r="D166" s="76"/>
      <c r="E166" s="76">
        <f>-FV(Plan!$H$4/12,-((MONTH(Plan!$E$10)-MONTH(Process!B166))+((YEAR(Plan!$E$10)-YEAR(Process!B166))*12)),0,Process!D166)</f>
        <v>0</v>
      </c>
      <c r="F166" s="77"/>
      <c r="G166" s="77" t="e">
        <f>VLOOKUP(F166,Plan!$B$12:$C$22,2)</f>
        <v>#N/A</v>
      </c>
      <c r="H166" s="77"/>
      <c r="I166" s="77"/>
      <c r="J166" s="77"/>
      <c r="K166" s="77"/>
    </row>
    <row r="167" spans="2:11" x14ac:dyDescent="0.3">
      <c r="B167" s="78"/>
      <c r="C167" s="77"/>
      <c r="D167" s="76"/>
      <c r="E167" s="76">
        <f>-FV(Plan!$H$4/12,-((MONTH(Plan!$E$10)-MONTH(Process!B167))+((YEAR(Plan!$E$10)-YEAR(Process!B167))*12)),0,Process!D167)</f>
        <v>0</v>
      </c>
      <c r="F167" s="77"/>
      <c r="G167" s="77" t="e">
        <f>VLOOKUP(F167,Plan!$B$12:$C$22,2)</f>
        <v>#N/A</v>
      </c>
      <c r="H167" s="77"/>
      <c r="I167" s="77"/>
      <c r="J167" s="77"/>
      <c r="K167" s="77"/>
    </row>
    <row r="168" spans="2:11" x14ac:dyDescent="0.3">
      <c r="B168" s="78"/>
      <c r="C168" s="77"/>
      <c r="D168" s="76"/>
      <c r="E168" s="76">
        <f>-FV(Plan!$H$4/12,-((MONTH(Plan!$E$10)-MONTH(Process!B168))+((YEAR(Plan!$E$10)-YEAR(Process!B168))*12)),0,Process!D168)</f>
        <v>0</v>
      </c>
      <c r="F168" s="77"/>
      <c r="G168" s="77" t="e">
        <f>VLOOKUP(F168,Plan!$B$12:$C$22,2)</f>
        <v>#N/A</v>
      </c>
      <c r="H168" s="77"/>
      <c r="I168" s="77"/>
      <c r="J168" s="77"/>
      <c r="K168" s="77"/>
    </row>
    <row r="169" spans="2:11" x14ac:dyDescent="0.3">
      <c r="B169" s="78"/>
      <c r="C169" s="77"/>
      <c r="D169" s="76"/>
      <c r="E169" s="76">
        <f>-FV(Plan!$H$4/12,-((MONTH(Plan!$E$10)-MONTH(Process!B169))+((YEAR(Plan!$E$10)-YEAR(Process!B169))*12)),0,Process!D169)</f>
        <v>0</v>
      </c>
      <c r="F169" s="77"/>
      <c r="G169" s="77" t="e">
        <f>VLOOKUP(F169,Plan!$B$12:$C$22,2)</f>
        <v>#N/A</v>
      </c>
      <c r="H169" s="77"/>
      <c r="I169" s="77"/>
      <c r="J169" s="77"/>
      <c r="K169" s="77"/>
    </row>
    <row r="170" spans="2:11" x14ac:dyDescent="0.3">
      <c r="B170" s="78"/>
      <c r="C170" s="77"/>
      <c r="D170" s="76"/>
      <c r="E170" s="76">
        <f>-FV(Plan!$H$4/12,-((MONTH(Plan!$E$10)-MONTH(Process!B170))+((YEAR(Plan!$E$10)-YEAR(Process!B170))*12)),0,Process!D170)</f>
        <v>0</v>
      </c>
      <c r="F170" s="77"/>
      <c r="G170" s="77" t="e">
        <f>VLOOKUP(F170,Plan!$B$12:$C$22,2)</f>
        <v>#N/A</v>
      </c>
      <c r="H170" s="77"/>
      <c r="I170" s="77"/>
      <c r="J170" s="77"/>
      <c r="K170" s="77"/>
    </row>
    <row r="171" spans="2:11" x14ac:dyDescent="0.3">
      <c r="B171" s="78"/>
      <c r="C171" s="77"/>
      <c r="D171" s="76"/>
      <c r="E171" s="76">
        <f>-FV(Plan!$H$4/12,-((MONTH(Plan!$E$10)-MONTH(Process!B171))+((YEAR(Plan!$E$10)-YEAR(Process!B171))*12)),0,Process!D171)</f>
        <v>0</v>
      </c>
      <c r="F171" s="77"/>
      <c r="G171" s="77" t="e">
        <f>VLOOKUP(F171,Plan!$B$12:$C$22,2)</f>
        <v>#N/A</v>
      </c>
      <c r="H171" s="77"/>
      <c r="I171" s="77"/>
      <c r="J171" s="77"/>
      <c r="K171" s="77"/>
    </row>
    <row r="172" spans="2:11" x14ac:dyDescent="0.3">
      <c r="B172" s="78"/>
      <c r="C172" s="77"/>
      <c r="D172" s="76"/>
      <c r="E172" s="76">
        <f>-FV(Plan!$H$4/12,-((MONTH(Plan!$E$10)-MONTH(Process!B172))+((YEAR(Plan!$E$10)-YEAR(Process!B172))*12)),0,Process!D172)</f>
        <v>0</v>
      </c>
      <c r="F172" s="77"/>
      <c r="G172" s="77" t="e">
        <f>VLOOKUP(F172,Plan!$B$12:$C$22,2)</f>
        <v>#N/A</v>
      </c>
      <c r="H172" s="77"/>
      <c r="I172" s="77"/>
      <c r="J172" s="77"/>
      <c r="K172" s="77"/>
    </row>
    <row r="173" spans="2:11" x14ac:dyDescent="0.3">
      <c r="B173" s="78"/>
      <c r="C173" s="77"/>
      <c r="D173" s="76"/>
      <c r="E173" s="76">
        <f>-FV(Plan!$H$4/12,-((MONTH(Plan!$E$10)-MONTH(Process!B173))+((YEAR(Plan!$E$10)-YEAR(Process!B173))*12)),0,Process!D173)</f>
        <v>0</v>
      </c>
      <c r="F173" s="77"/>
      <c r="G173" s="77" t="e">
        <f>VLOOKUP(F173,Plan!$B$12:$C$22,2)</f>
        <v>#N/A</v>
      </c>
      <c r="H173" s="77"/>
      <c r="I173" s="77"/>
      <c r="J173" s="77"/>
      <c r="K173" s="77"/>
    </row>
    <row r="174" spans="2:11" x14ac:dyDescent="0.3">
      <c r="B174" s="78"/>
      <c r="C174" s="77"/>
      <c r="D174" s="76"/>
      <c r="E174" s="76">
        <f>-FV(Plan!$H$4/12,-((MONTH(Plan!$E$10)-MONTH(Process!B174))+((YEAR(Plan!$E$10)-YEAR(Process!B174))*12)),0,Process!D174)</f>
        <v>0</v>
      </c>
      <c r="F174" s="77"/>
      <c r="G174" s="77" t="e">
        <f>VLOOKUP(F174,Plan!$B$12:$C$22,2)</f>
        <v>#N/A</v>
      </c>
      <c r="H174" s="77"/>
      <c r="I174" s="77"/>
      <c r="J174" s="77"/>
      <c r="K174" s="77"/>
    </row>
    <row r="175" spans="2:11" x14ac:dyDescent="0.3">
      <c r="B175" s="78"/>
      <c r="C175" s="77"/>
      <c r="D175" s="76"/>
      <c r="E175" s="76">
        <f>-FV(Plan!$H$4/12,-((MONTH(Plan!$E$10)-MONTH(Process!B175))+((YEAR(Plan!$E$10)-YEAR(Process!B175))*12)),0,Process!D175)</f>
        <v>0</v>
      </c>
      <c r="F175" s="77"/>
      <c r="G175" s="77" t="e">
        <f>VLOOKUP(F175,Plan!$B$12:$C$22,2)</f>
        <v>#N/A</v>
      </c>
      <c r="H175" s="77"/>
      <c r="I175" s="77"/>
      <c r="J175" s="77"/>
      <c r="K175" s="77"/>
    </row>
    <row r="176" spans="2:11" x14ac:dyDescent="0.3">
      <c r="B176" s="78"/>
      <c r="C176" s="77"/>
      <c r="D176" s="76"/>
      <c r="E176" s="76">
        <f>-FV(Plan!$H$4/12,-((MONTH(Plan!$E$10)-MONTH(Process!B176))+((YEAR(Plan!$E$10)-YEAR(Process!B176))*12)),0,Process!D176)</f>
        <v>0</v>
      </c>
      <c r="F176" s="77"/>
      <c r="G176" s="77" t="e">
        <f>VLOOKUP(F176,Plan!$B$12:$C$22,2)</f>
        <v>#N/A</v>
      </c>
      <c r="H176" s="77"/>
      <c r="I176" s="77"/>
      <c r="J176" s="77"/>
      <c r="K176" s="77"/>
    </row>
    <row r="177" spans="2:11" x14ac:dyDescent="0.3">
      <c r="B177" s="78"/>
      <c r="C177" s="77"/>
      <c r="D177" s="76"/>
      <c r="E177" s="76">
        <f>-FV(Plan!$H$4/12,-((MONTH(Plan!$E$10)-MONTH(Process!B177))+((YEAR(Plan!$E$10)-YEAR(Process!B177))*12)),0,Process!D177)</f>
        <v>0</v>
      </c>
      <c r="F177" s="77"/>
      <c r="G177" s="77" t="e">
        <f>VLOOKUP(F177,Plan!$B$12:$C$22,2)</f>
        <v>#N/A</v>
      </c>
      <c r="H177" s="77"/>
      <c r="I177" s="77"/>
      <c r="J177" s="77"/>
      <c r="K177" s="77"/>
    </row>
    <row r="178" spans="2:11" x14ac:dyDescent="0.3">
      <c r="B178" s="78"/>
      <c r="C178" s="77"/>
      <c r="D178" s="76"/>
      <c r="E178" s="76">
        <f>-FV(Plan!$H$4/12,-((MONTH(Plan!$E$10)-MONTH(Process!B178))+((YEAR(Plan!$E$10)-YEAR(Process!B178))*12)),0,Process!D178)</f>
        <v>0</v>
      </c>
      <c r="F178" s="77"/>
      <c r="G178" s="77" t="e">
        <f>VLOOKUP(F178,Plan!$B$12:$C$22,2)</f>
        <v>#N/A</v>
      </c>
      <c r="H178" s="77"/>
      <c r="I178" s="77"/>
      <c r="J178" s="77"/>
      <c r="K178" s="77"/>
    </row>
    <row r="179" spans="2:11" x14ac:dyDescent="0.3">
      <c r="B179" s="78"/>
      <c r="C179" s="77"/>
      <c r="D179" s="76"/>
      <c r="E179" s="76">
        <f>-FV(Plan!$H$4/12,-((MONTH(Plan!$E$10)-MONTH(Process!B179))+((YEAR(Plan!$E$10)-YEAR(Process!B179))*12)),0,Process!D179)</f>
        <v>0</v>
      </c>
      <c r="F179" s="77"/>
      <c r="G179" s="77" t="e">
        <f>VLOOKUP(F179,Plan!$B$12:$C$22,2)</f>
        <v>#N/A</v>
      </c>
      <c r="H179" s="77"/>
      <c r="I179" s="77"/>
      <c r="J179" s="77"/>
      <c r="K179" s="77"/>
    </row>
    <row r="180" spans="2:11" x14ac:dyDescent="0.3">
      <c r="B180" s="78"/>
      <c r="C180" s="77"/>
      <c r="D180" s="76"/>
      <c r="E180" s="76">
        <f>-FV(Plan!$H$4/12,-((MONTH(Plan!$E$10)-MONTH(Process!B180))+((YEAR(Plan!$E$10)-YEAR(Process!B180))*12)),0,Process!D180)</f>
        <v>0</v>
      </c>
      <c r="F180" s="77"/>
      <c r="G180" s="77" t="e">
        <f>VLOOKUP(F180,Plan!$B$12:$C$22,2)</f>
        <v>#N/A</v>
      </c>
      <c r="H180" s="77"/>
      <c r="I180" s="77"/>
      <c r="J180" s="77"/>
      <c r="K180" s="77"/>
    </row>
    <row r="181" spans="2:11" x14ac:dyDescent="0.3">
      <c r="B181" s="78"/>
      <c r="C181" s="77"/>
      <c r="D181" s="76"/>
      <c r="E181" s="76">
        <f>-FV(Plan!$H$4/12,-((MONTH(Plan!$E$10)-MONTH(Process!B181))+((YEAR(Plan!$E$10)-YEAR(Process!B181))*12)),0,Process!D181)</f>
        <v>0</v>
      </c>
      <c r="F181" s="77"/>
      <c r="G181" s="77" t="e">
        <f>VLOOKUP(F181,Plan!$B$12:$C$22,2)</f>
        <v>#N/A</v>
      </c>
      <c r="H181" s="77"/>
      <c r="I181" s="77"/>
      <c r="J181" s="77"/>
      <c r="K181" s="77"/>
    </row>
    <row r="182" spans="2:11" x14ac:dyDescent="0.3">
      <c r="B182" s="78"/>
      <c r="C182" s="77"/>
      <c r="D182" s="76"/>
      <c r="E182" s="76">
        <f>-FV(Plan!$H$4/12,-((MONTH(Plan!$E$10)-MONTH(Process!B182))+((YEAR(Plan!$E$10)-YEAR(Process!B182))*12)),0,Process!D182)</f>
        <v>0</v>
      </c>
      <c r="F182" s="77"/>
      <c r="G182" s="77" t="e">
        <f>VLOOKUP(F182,Plan!$B$12:$C$22,2)</f>
        <v>#N/A</v>
      </c>
      <c r="H182" s="77"/>
      <c r="I182" s="77"/>
      <c r="J182" s="77"/>
      <c r="K182" s="77"/>
    </row>
    <row r="183" spans="2:11" x14ac:dyDescent="0.3">
      <c r="B183" s="78"/>
      <c r="C183" s="77"/>
      <c r="D183" s="76"/>
      <c r="E183" s="76">
        <f>-FV(Plan!$H$4/12,-((MONTH(Plan!$E$10)-MONTH(Process!B183))+((YEAR(Plan!$E$10)-YEAR(Process!B183))*12)),0,Process!D183)</f>
        <v>0</v>
      </c>
      <c r="F183" s="77"/>
      <c r="G183" s="77" t="e">
        <f>VLOOKUP(F183,Plan!$B$12:$C$22,2)</f>
        <v>#N/A</v>
      </c>
      <c r="H183" s="77"/>
      <c r="I183" s="77"/>
      <c r="J183" s="77"/>
      <c r="K183" s="77"/>
    </row>
    <row r="184" spans="2:11" x14ac:dyDescent="0.3">
      <c r="B184" s="78"/>
      <c r="C184" s="77"/>
      <c r="D184" s="76"/>
      <c r="E184" s="76">
        <f>-FV(Plan!$H$4/12,-((MONTH(Plan!$E$10)-MONTH(Process!B184))+((YEAR(Plan!$E$10)-YEAR(Process!B184))*12)),0,Process!D184)</f>
        <v>0</v>
      </c>
      <c r="F184" s="77"/>
      <c r="G184" s="77" t="e">
        <f>VLOOKUP(F184,Plan!$B$12:$C$22,2)</f>
        <v>#N/A</v>
      </c>
      <c r="H184" s="77"/>
      <c r="I184" s="77"/>
      <c r="J184" s="77"/>
      <c r="K184" s="77"/>
    </row>
    <row r="185" spans="2:11" x14ac:dyDescent="0.3">
      <c r="B185" s="78"/>
      <c r="C185" s="77"/>
      <c r="D185" s="76"/>
      <c r="E185" s="76">
        <f>-FV(Plan!$H$4/12,-((MONTH(Plan!$E$10)-MONTH(Process!B185))+((YEAR(Plan!$E$10)-YEAR(Process!B185))*12)),0,Process!D185)</f>
        <v>0</v>
      </c>
      <c r="F185" s="77"/>
      <c r="G185" s="77" t="e">
        <f>VLOOKUP(F185,Plan!$B$12:$C$22,2)</f>
        <v>#N/A</v>
      </c>
      <c r="H185" s="77"/>
      <c r="I185" s="77"/>
      <c r="J185" s="77"/>
      <c r="K185" s="77"/>
    </row>
    <row r="186" spans="2:11" x14ac:dyDescent="0.3">
      <c r="B186" s="78"/>
      <c r="C186" s="77"/>
      <c r="D186" s="76"/>
      <c r="E186" s="76">
        <f>-FV(Plan!$H$4/12,-((MONTH(Plan!$E$10)-MONTH(Process!B186))+((YEAR(Plan!$E$10)-YEAR(Process!B186))*12)),0,Process!D186)</f>
        <v>0</v>
      </c>
      <c r="F186" s="77"/>
      <c r="G186" s="77" t="e">
        <f>VLOOKUP(F186,Plan!$B$12:$C$22,2)</f>
        <v>#N/A</v>
      </c>
      <c r="H186" s="77"/>
      <c r="I186" s="77"/>
      <c r="J186" s="77"/>
      <c r="K186" s="77"/>
    </row>
    <row r="187" spans="2:11" x14ac:dyDescent="0.3">
      <c r="B187" s="78"/>
      <c r="C187" s="77"/>
      <c r="D187" s="76"/>
      <c r="E187" s="76">
        <f>-FV(Plan!$H$4/12,-((MONTH(Plan!$E$10)-MONTH(Process!B187))+((YEAR(Plan!$E$10)-YEAR(Process!B187))*12)),0,Process!D187)</f>
        <v>0</v>
      </c>
      <c r="F187" s="77"/>
      <c r="G187" s="77" t="e">
        <f>VLOOKUP(F187,Plan!$B$12:$C$22,2)</f>
        <v>#N/A</v>
      </c>
      <c r="H187" s="77"/>
      <c r="I187" s="77"/>
      <c r="J187" s="77"/>
      <c r="K187" s="77"/>
    </row>
    <row r="188" spans="2:11" x14ac:dyDescent="0.3">
      <c r="B188" s="78"/>
      <c r="C188" s="77"/>
      <c r="D188" s="76"/>
      <c r="E188" s="76">
        <f>-FV(Plan!$H$4/12,-((MONTH(Plan!$E$10)-MONTH(Process!B188))+((YEAR(Plan!$E$10)-YEAR(Process!B188))*12)),0,Process!D188)</f>
        <v>0</v>
      </c>
      <c r="F188" s="77"/>
      <c r="G188" s="77" t="e">
        <f>VLOOKUP(F188,Plan!$B$12:$C$22,2)</f>
        <v>#N/A</v>
      </c>
      <c r="H188" s="77"/>
      <c r="I188" s="77"/>
      <c r="J188" s="77"/>
      <c r="K188" s="77"/>
    </row>
    <row r="189" spans="2:11" x14ac:dyDescent="0.3">
      <c r="B189" s="78"/>
      <c r="C189" s="77"/>
      <c r="D189" s="76"/>
      <c r="E189" s="76">
        <f>-FV(Plan!$H$4/12,-((MONTH(Plan!$E$10)-MONTH(Process!B189))+((YEAR(Plan!$E$10)-YEAR(Process!B189))*12)),0,Process!D189)</f>
        <v>0</v>
      </c>
      <c r="F189" s="77"/>
      <c r="G189" s="77" t="e">
        <f>VLOOKUP(F189,Plan!$B$12:$C$22,2)</f>
        <v>#N/A</v>
      </c>
      <c r="H189" s="77"/>
      <c r="I189" s="77"/>
      <c r="J189" s="77"/>
      <c r="K189" s="77"/>
    </row>
    <row r="190" spans="2:11" x14ac:dyDescent="0.3">
      <c r="B190" s="78"/>
      <c r="C190" s="77"/>
      <c r="D190" s="76"/>
      <c r="E190" s="76">
        <f>-FV(Plan!$H$4/12,-((MONTH(Plan!$E$10)-MONTH(Process!B190))+((YEAR(Plan!$E$10)-YEAR(Process!B190))*12)),0,Process!D190)</f>
        <v>0</v>
      </c>
      <c r="F190" s="77"/>
      <c r="G190" s="77" t="e">
        <f>VLOOKUP(F190,Plan!$B$12:$C$22,2)</f>
        <v>#N/A</v>
      </c>
      <c r="H190" s="77"/>
      <c r="I190" s="77"/>
      <c r="J190" s="77"/>
      <c r="K190" s="77"/>
    </row>
    <row r="191" spans="2:11" x14ac:dyDescent="0.3">
      <c r="B191" s="78"/>
      <c r="C191" s="77"/>
      <c r="D191" s="76"/>
      <c r="E191" s="76">
        <f>-FV(Plan!$H$4/12,-((MONTH(Plan!$E$10)-MONTH(Process!B191))+((YEAR(Plan!$E$10)-YEAR(Process!B191))*12)),0,Process!D191)</f>
        <v>0</v>
      </c>
      <c r="F191" s="77"/>
      <c r="G191" s="77" t="e">
        <f>VLOOKUP(F191,Plan!$B$12:$C$22,2)</f>
        <v>#N/A</v>
      </c>
      <c r="H191" s="77"/>
      <c r="I191" s="77"/>
      <c r="J191" s="77"/>
      <c r="K191" s="77"/>
    </row>
    <row r="192" spans="2:11" x14ac:dyDescent="0.3">
      <c r="B192" s="78"/>
      <c r="C192" s="77"/>
      <c r="D192" s="76"/>
      <c r="E192" s="76">
        <f>-FV(Plan!$H$4/12,-((MONTH(Plan!$E$10)-MONTH(Process!B192))+((YEAR(Plan!$E$10)-YEAR(Process!B192))*12)),0,Process!D192)</f>
        <v>0</v>
      </c>
      <c r="F192" s="77"/>
      <c r="G192" s="77" t="e">
        <f>VLOOKUP(F192,Plan!$B$12:$C$22,2)</f>
        <v>#N/A</v>
      </c>
      <c r="H192" s="77"/>
      <c r="I192" s="77"/>
      <c r="J192" s="77"/>
      <c r="K192" s="77"/>
    </row>
    <row r="193" spans="2:11" x14ac:dyDescent="0.3">
      <c r="B193" s="78"/>
      <c r="C193" s="77"/>
      <c r="D193" s="76"/>
      <c r="E193" s="76">
        <f>-FV(Plan!$H$4/12,-((MONTH(Plan!$E$10)-MONTH(Process!B193))+((YEAR(Plan!$E$10)-YEAR(Process!B193))*12)),0,Process!D193)</f>
        <v>0</v>
      </c>
      <c r="F193" s="77"/>
      <c r="G193" s="77" t="e">
        <f>VLOOKUP(F193,Plan!$B$12:$C$22,2)</f>
        <v>#N/A</v>
      </c>
      <c r="H193" s="77"/>
      <c r="I193" s="77"/>
      <c r="J193" s="77"/>
      <c r="K193" s="77"/>
    </row>
    <row r="194" spans="2:11" x14ac:dyDescent="0.3">
      <c r="B194" s="78"/>
      <c r="C194" s="77"/>
      <c r="D194" s="76"/>
      <c r="E194" s="76">
        <f>-FV(Plan!$H$4/12,-((MONTH(Plan!$E$10)-MONTH(Process!B194))+((YEAR(Plan!$E$10)-YEAR(Process!B194))*12)),0,Process!D194)</f>
        <v>0</v>
      </c>
      <c r="F194" s="77"/>
      <c r="G194" s="77" t="e">
        <f>VLOOKUP(F194,Plan!$B$12:$C$22,2)</f>
        <v>#N/A</v>
      </c>
      <c r="H194" s="77"/>
      <c r="I194" s="77"/>
      <c r="J194" s="77"/>
      <c r="K194" s="77"/>
    </row>
    <row r="195" spans="2:11" x14ac:dyDescent="0.3">
      <c r="B195" s="78"/>
      <c r="C195" s="77"/>
      <c r="D195" s="76"/>
      <c r="E195" s="76">
        <f>-FV(Plan!$H$4/12,-((MONTH(Plan!$E$10)-MONTH(Process!B195))+((YEAR(Plan!$E$10)-YEAR(Process!B195))*12)),0,Process!D195)</f>
        <v>0</v>
      </c>
      <c r="F195" s="77"/>
      <c r="G195" s="77" t="e">
        <f>VLOOKUP(F195,Plan!$B$12:$C$22,2)</f>
        <v>#N/A</v>
      </c>
      <c r="H195" s="77"/>
      <c r="I195" s="77"/>
      <c r="J195" s="77"/>
      <c r="K195" s="77"/>
    </row>
    <row r="196" spans="2:11" x14ac:dyDescent="0.3">
      <c r="B196" s="78"/>
      <c r="C196" s="77"/>
      <c r="D196" s="76"/>
      <c r="E196" s="76">
        <f>-FV(Plan!$H$4/12,-((MONTH(Plan!$E$10)-MONTH(Process!B196))+((YEAR(Plan!$E$10)-YEAR(Process!B196))*12)),0,Process!D196)</f>
        <v>0</v>
      </c>
      <c r="F196" s="77"/>
      <c r="G196" s="77" t="e">
        <f>VLOOKUP(F196,Plan!$B$12:$C$22,2)</f>
        <v>#N/A</v>
      </c>
      <c r="H196" s="77"/>
      <c r="I196" s="77"/>
      <c r="J196" s="77"/>
      <c r="K196" s="77"/>
    </row>
    <row r="197" spans="2:11" x14ac:dyDescent="0.3">
      <c r="B197" s="78"/>
      <c r="C197" s="77"/>
      <c r="D197" s="76"/>
      <c r="E197" s="76">
        <f>-FV(Plan!$H$4/12,-((MONTH(Plan!$E$10)-MONTH(Process!B197))+((YEAR(Plan!$E$10)-YEAR(Process!B197))*12)),0,Process!D197)</f>
        <v>0</v>
      </c>
      <c r="F197" s="77"/>
      <c r="G197" s="77" t="e">
        <f>VLOOKUP(F197,Plan!$B$12:$C$22,2)</f>
        <v>#N/A</v>
      </c>
      <c r="H197" s="77"/>
      <c r="I197" s="77"/>
      <c r="J197" s="77"/>
      <c r="K197" s="77"/>
    </row>
    <row r="198" spans="2:11" x14ac:dyDescent="0.3">
      <c r="B198" s="78"/>
      <c r="C198" s="77"/>
      <c r="D198" s="76"/>
      <c r="E198" s="76">
        <f>-FV(Plan!$H$4/12,-((MONTH(Plan!$E$10)-MONTH(Process!B198))+((YEAR(Plan!$E$10)-YEAR(Process!B198))*12)),0,Process!D198)</f>
        <v>0</v>
      </c>
      <c r="F198" s="77"/>
      <c r="G198" s="77" t="e">
        <f>VLOOKUP(F198,Plan!$B$12:$C$22,2)</f>
        <v>#N/A</v>
      </c>
      <c r="H198" s="77"/>
      <c r="I198" s="77"/>
      <c r="J198" s="77"/>
      <c r="K198" s="77"/>
    </row>
    <row r="199" spans="2:11" x14ac:dyDescent="0.3">
      <c r="B199" s="78"/>
      <c r="C199" s="77"/>
      <c r="D199" s="76"/>
      <c r="E199" s="76">
        <f>-FV(Plan!$H$4/12,-((MONTH(Plan!$E$10)-MONTH(Process!B199))+((YEAR(Plan!$E$10)-YEAR(Process!B199))*12)),0,Process!D199)</f>
        <v>0</v>
      </c>
      <c r="F199" s="77"/>
      <c r="G199" s="77" t="e">
        <f>VLOOKUP(F199,Plan!$B$12:$C$22,2)</f>
        <v>#N/A</v>
      </c>
      <c r="H199" s="77"/>
      <c r="I199" s="77"/>
      <c r="J199" s="77"/>
      <c r="K199" s="77"/>
    </row>
    <row r="200" spans="2:11" x14ac:dyDescent="0.3">
      <c r="B200" s="78"/>
      <c r="C200" s="77"/>
      <c r="D200" s="76"/>
      <c r="E200" s="76">
        <f>-FV(Plan!$H$4/12,-((MONTH(Plan!$E$10)-MONTH(Process!B200))+((YEAR(Plan!$E$10)-YEAR(Process!B200))*12)),0,Process!D200)</f>
        <v>0</v>
      </c>
      <c r="F200" s="77"/>
      <c r="G200" s="77" t="e">
        <f>VLOOKUP(F200,Plan!$B$12:$C$22,2)</f>
        <v>#N/A</v>
      </c>
      <c r="H200" s="77"/>
      <c r="I200" s="77"/>
      <c r="J200" s="77"/>
      <c r="K200" s="77"/>
    </row>
    <row r="201" spans="2:11" x14ac:dyDescent="0.3">
      <c r="B201" s="78"/>
      <c r="C201" s="77"/>
      <c r="D201" s="76"/>
      <c r="E201" s="76">
        <f>-FV(Plan!$H$4/12,-((MONTH(Plan!$E$10)-MONTH(Process!B201))+((YEAR(Plan!$E$10)-YEAR(Process!B201))*12)),0,Process!D201)</f>
        <v>0</v>
      </c>
      <c r="F201" s="77"/>
      <c r="G201" s="77" t="e">
        <f>VLOOKUP(F201,Plan!$B$12:$C$22,2)</f>
        <v>#N/A</v>
      </c>
      <c r="H201" s="77"/>
      <c r="I201" s="77"/>
      <c r="J201" s="77"/>
      <c r="K201" s="77"/>
    </row>
    <row r="202" spans="2:11" x14ac:dyDescent="0.3">
      <c r="B202" s="78"/>
      <c r="C202" s="77"/>
      <c r="D202" s="76"/>
      <c r="E202" s="76">
        <f>-FV(Plan!$H$4/12,-((MONTH(Plan!$E$10)-MONTH(Process!B202))+((YEAR(Plan!$E$10)-YEAR(Process!B202))*12)),0,Process!D202)</f>
        <v>0</v>
      </c>
      <c r="F202" s="77"/>
      <c r="G202" s="77" t="e">
        <f>VLOOKUP(F202,Plan!$B$12:$C$22,2)</f>
        <v>#N/A</v>
      </c>
      <c r="H202" s="77"/>
      <c r="I202" s="77"/>
      <c r="J202" s="77"/>
      <c r="K202" s="77"/>
    </row>
    <row r="203" spans="2:11" x14ac:dyDescent="0.3">
      <c r="B203" s="78"/>
      <c r="C203" s="77"/>
      <c r="D203" s="76"/>
      <c r="E203" s="76">
        <f>-FV(Plan!$H$4/12,-((MONTH(Plan!$E$10)-MONTH(Process!B203))+((YEAR(Plan!$E$10)-YEAR(Process!B203))*12)),0,Process!D203)</f>
        <v>0</v>
      </c>
      <c r="F203" s="77"/>
      <c r="G203" s="77" t="e">
        <f>VLOOKUP(F203,Plan!$B$12:$C$22,2)</f>
        <v>#N/A</v>
      </c>
      <c r="H203" s="77"/>
      <c r="I203" s="77"/>
      <c r="J203" s="77"/>
      <c r="K203" s="77"/>
    </row>
    <row r="204" spans="2:11" x14ac:dyDescent="0.3">
      <c r="B204" s="78"/>
      <c r="C204" s="77"/>
      <c r="D204" s="76"/>
      <c r="E204" s="76">
        <f>-FV(Plan!$H$4/12,-((MONTH(Plan!$E$10)-MONTH(Process!B204))+((YEAR(Plan!$E$10)-YEAR(Process!B204))*12)),0,Process!D204)</f>
        <v>0</v>
      </c>
      <c r="F204" s="77"/>
      <c r="G204" s="77" t="e">
        <f>VLOOKUP(F204,Plan!$B$12:$C$22,2)</f>
        <v>#N/A</v>
      </c>
      <c r="H204" s="77"/>
      <c r="I204" s="77"/>
      <c r="J204" s="77"/>
      <c r="K204" s="77"/>
    </row>
  </sheetData>
  <autoFilter ref="B2:K204" xr:uid="{939B632C-4AC4-4099-8961-7FD02FE3299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DB96-CFD6-473E-998D-117BFBC77FA1}">
  <dimension ref="B2:L34"/>
  <sheetViews>
    <sheetView showGridLines="0" topLeftCell="A2" zoomScale="90" workbookViewId="0">
      <selection activeCell="F28" sqref="F28"/>
    </sheetView>
  </sheetViews>
  <sheetFormatPr defaultRowHeight="14" x14ac:dyDescent="0.3"/>
  <cols>
    <col min="2" max="2" width="47.5" style="69" bestFit="1" customWidth="1"/>
    <col min="3" max="3" width="16" style="69" bestFit="1" customWidth="1"/>
    <col min="4" max="4" width="8.69921875" style="69"/>
    <col min="5" max="5" width="12.8984375" style="69" bestFit="1" customWidth="1"/>
    <col min="6" max="6" width="16" style="69" bestFit="1" customWidth="1"/>
    <col min="7" max="7" width="8.69921875" style="69"/>
    <col min="8" max="8" width="14.296875" style="69" bestFit="1" customWidth="1"/>
    <col min="9" max="9" width="16" style="69" bestFit="1" customWidth="1"/>
    <col min="10" max="10" width="10.09765625" style="69" bestFit="1" customWidth="1"/>
    <col min="11" max="11" width="14.296875" style="69" bestFit="1" customWidth="1"/>
    <col min="12" max="12" width="16" style="69" bestFit="1" customWidth="1"/>
  </cols>
  <sheetData>
    <row r="2" spans="2:12" x14ac:dyDescent="0.3">
      <c r="B2" s="80" t="s">
        <v>97</v>
      </c>
      <c r="C2" s="79" t="s">
        <v>102</v>
      </c>
      <c r="E2" s="80" t="s">
        <v>97</v>
      </c>
      <c r="F2" s="79" t="s">
        <v>102</v>
      </c>
      <c r="H2" s="80" t="s">
        <v>97</v>
      </c>
      <c r="I2" s="79" t="s">
        <v>102</v>
      </c>
      <c r="K2" s="80" t="s">
        <v>97</v>
      </c>
      <c r="L2" s="79" t="s">
        <v>102</v>
      </c>
    </row>
    <row r="3" spans="2:12" x14ac:dyDescent="0.3">
      <c r="B3" s="81" t="s">
        <v>52</v>
      </c>
      <c r="C3" s="79">
        <v>-2671</v>
      </c>
      <c r="E3" s="81" t="s">
        <v>95</v>
      </c>
      <c r="F3" s="79">
        <v>5000</v>
      </c>
      <c r="H3" s="81" t="s">
        <v>96</v>
      </c>
      <c r="I3" s="79">
        <v>5000</v>
      </c>
      <c r="K3" s="81" t="s">
        <v>127</v>
      </c>
      <c r="L3" s="79">
        <v>5805100</v>
      </c>
    </row>
    <row r="4" spans="2:12" x14ac:dyDescent="0.3">
      <c r="B4" s="81" t="s">
        <v>35</v>
      </c>
      <c r="C4" s="79">
        <v>6160000</v>
      </c>
      <c r="E4" s="81" t="s">
        <v>59</v>
      </c>
      <c r="F4" s="79">
        <v>3318978.85356818</v>
      </c>
      <c r="H4" s="81" t="s">
        <v>105</v>
      </c>
      <c r="I4" s="79">
        <v>0</v>
      </c>
      <c r="K4" s="81" t="s">
        <v>138</v>
      </c>
      <c r="L4" s="79">
        <v>193491.28420296067</v>
      </c>
    </row>
    <row r="5" spans="2:12" x14ac:dyDescent="0.3">
      <c r="B5" s="81" t="s">
        <v>55</v>
      </c>
      <c r="C5" s="79">
        <v>3597080.3456014679</v>
      </c>
      <c r="E5" s="81" t="s">
        <v>68</v>
      </c>
      <c r="F5" s="79">
        <v>0</v>
      </c>
      <c r="H5" s="81" t="s">
        <v>89</v>
      </c>
      <c r="I5" s="79">
        <v>3385737.8401801991</v>
      </c>
      <c r="K5" s="81" t="s">
        <v>141</v>
      </c>
      <c r="L5" s="79">
        <v>474000</v>
      </c>
    </row>
    <row r="6" spans="2:12" x14ac:dyDescent="0.3">
      <c r="B6" s="81" t="s">
        <v>65</v>
      </c>
      <c r="C6" s="79">
        <v>2111695.119957149</v>
      </c>
      <c r="E6" s="81" t="s">
        <v>58</v>
      </c>
      <c r="F6" s="79">
        <v>6160000</v>
      </c>
      <c r="H6" s="81" t="s">
        <v>92</v>
      </c>
      <c r="I6" s="79">
        <v>2310000</v>
      </c>
      <c r="K6" s="81" t="s">
        <v>150</v>
      </c>
      <c r="L6" s="79">
        <v>1480000</v>
      </c>
    </row>
    <row r="7" spans="2:12" x14ac:dyDescent="0.3">
      <c r="B7" s="81" t="s">
        <v>36</v>
      </c>
      <c r="C7" s="79">
        <v>1274042.7202230508</v>
      </c>
      <c r="E7" s="81" t="s">
        <v>60</v>
      </c>
      <c r="F7" s="79">
        <v>474868.43063478067</v>
      </c>
      <c r="H7" s="81" t="s">
        <v>93</v>
      </c>
      <c r="I7" s="79">
        <v>0</v>
      </c>
      <c r="K7" s="81" t="s">
        <v>100</v>
      </c>
      <c r="L7" s="79">
        <v>5050000</v>
      </c>
    </row>
    <row r="8" spans="2:12" x14ac:dyDescent="0.3">
      <c r="B8" s="81" t="s">
        <v>67</v>
      </c>
      <c r="C8" s="79">
        <v>3619639.2448531133</v>
      </c>
      <c r="E8" s="81" t="s">
        <v>88</v>
      </c>
      <c r="F8" s="79">
        <v>10122589</v>
      </c>
      <c r="H8" s="81" t="s">
        <v>91</v>
      </c>
      <c r="I8" s="79">
        <v>6160000</v>
      </c>
      <c r="K8" s="81" t="s">
        <v>101</v>
      </c>
      <c r="L8" s="79">
        <v>3505000</v>
      </c>
    </row>
    <row r="9" spans="2:12" x14ac:dyDescent="0.3">
      <c r="B9" s="81" t="s">
        <v>51</v>
      </c>
      <c r="C9" s="79">
        <v>0</v>
      </c>
      <c r="E9" s="81" t="s">
        <v>56</v>
      </c>
      <c r="F9" s="79">
        <v>0</v>
      </c>
      <c r="H9" s="81" t="s">
        <v>94</v>
      </c>
      <c r="I9" s="79">
        <v>474868.43063478067</v>
      </c>
      <c r="K9" s="81" t="s">
        <v>118</v>
      </c>
      <c r="L9" s="79">
        <v>3573845</v>
      </c>
    </row>
    <row r="10" spans="2:12" x14ac:dyDescent="0.3">
      <c r="B10" s="81" t="s">
        <v>69</v>
      </c>
      <c r="C10" s="79">
        <v>3300000</v>
      </c>
      <c r="E10" s="81" t="s">
        <v>98</v>
      </c>
      <c r="F10" s="79"/>
      <c r="H10" s="81" t="s">
        <v>98</v>
      </c>
      <c r="I10" s="79"/>
      <c r="K10" s="81" t="s">
        <v>99</v>
      </c>
      <c r="L10" s="79">
        <v>20081436.284202959</v>
      </c>
    </row>
    <row r="11" spans="2:12" x14ac:dyDescent="0.3">
      <c r="B11" s="81" t="s">
        <v>34</v>
      </c>
      <c r="C11" s="79">
        <v>0</v>
      </c>
      <c r="E11" s="81" t="s">
        <v>99</v>
      </c>
      <c r="F11" s="79">
        <v>20081436.284202959</v>
      </c>
      <c r="H11" s="81" t="s">
        <v>115</v>
      </c>
      <c r="I11" s="79">
        <v>1008978.85356818</v>
      </c>
      <c r="K11"/>
      <c r="L11"/>
    </row>
    <row r="12" spans="2:12" x14ac:dyDescent="0.3">
      <c r="B12" s="81" t="s">
        <v>53</v>
      </c>
      <c r="C12" s="79">
        <v>21649.853568179999</v>
      </c>
      <c r="H12" s="81" t="s">
        <v>117</v>
      </c>
      <c r="I12" s="79">
        <v>0</v>
      </c>
      <c r="K12"/>
      <c r="L12"/>
    </row>
    <row r="13" spans="2:12" x14ac:dyDescent="0.3">
      <c r="B13" s="81" t="s">
        <v>109</v>
      </c>
      <c r="C13" s="79"/>
      <c r="H13" s="81" t="s">
        <v>128</v>
      </c>
      <c r="I13" s="79">
        <v>3134004.3476348817</v>
      </c>
      <c r="K13"/>
      <c r="L13"/>
    </row>
    <row r="14" spans="2:12" x14ac:dyDescent="0.3">
      <c r="B14" s="81" t="s">
        <v>99</v>
      </c>
      <c r="C14" s="79">
        <v>20081436.284202963</v>
      </c>
      <c r="H14" s="81" t="s">
        <v>130</v>
      </c>
      <c r="I14" s="79">
        <v>0</v>
      </c>
    </row>
    <row r="15" spans="2:12" x14ac:dyDescent="0.3">
      <c r="H15" s="81" t="s">
        <v>131</v>
      </c>
      <c r="I15" s="79">
        <v>0</v>
      </c>
    </row>
    <row r="16" spans="2:12" x14ac:dyDescent="0.3">
      <c r="H16" s="81" t="s">
        <v>132</v>
      </c>
      <c r="I16" s="79">
        <v>3602846.8121849191</v>
      </c>
    </row>
    <row r="17" spans="5:9" x14ac:dyDescent="0.3">
      <c r="E17" s="85" t="s">
        <v>97</v>
      </c>
      <c r="F17" s="79" t="s">
        <v>102</v>
      </c>
      <c r="G17"/>
      <c r="H17" s="81" t="s">
        <v>99</v>
      </c>
      <c r="I17" s="79">
        <v>20081436.284202959</v>
      </c>
    </row>
    <row r="18" spans="5:9" x14ac:dyDescent="0.3">
      <c r="E18" s="86" t="s">
        <v>86</v>
      </c>
      <c r="F18" s="79">
        <v>9953847.2842029594</v>
      </c>
      <c r="G18"/>
    </row>
    <row r="19" spans="5:9" x14ac:dyDescent="0.3">
      <c r="E19" s="86" t="s">
        <v>104</v>
      </c>
      <c r="F19" s="79">
        <v>0</v>
      </c>
      <c r="G19"/>
    </row>
    <row r="20" spans="5:9" x14ac:dyDescent="0.3">
      <c r="E20" s="86" t="s">
        <v>90</v>
      </c>
      <c r="F20" s="79">
        <v>10127589</v>
      </c>
      <c r="G20"/>
    </row>
    <row r="21" spans="5:9" x14ac:dyDescent="0.3">
      <c r="E21" s="86" t="s">
        <v>116</v>
      </c>
      <c r="F21" s="79">
        <v>0</v>
      </c>
      <c r="G21"/>
    </row>
    <row r="22" spans="5:9" x14ac:dyDescent="0.3">
      <c r="E22" s="86" t="s">
        <v>98</v>
      </c>
      <c r="F22" s="79"/>
      <c r="G22"/>
    </row>
    <row r="23" spans="5:9" x14ac:dyDescent="0.3">
      <c r="E23" s="86" t="s">
        <v>99</v>
      </c>
      <c r="F23" s="79">
        <v>20081436.284202959</v>
      </c>
      <c r="G23"/>
    </row>
    <row r="24" spans="5:9" x14ac:dyDescent="0.3">
      <c r="E24"/>
      <c r="G24"/>
    </row>
    <row r="25" spans="5:9" x14ac:dyDescent="0.3">
      <c r="E25"/>
      <c r="G25"/>
    </row>
    <row r="26" spans="5:9" x14ac:dyDescent="0.3">
      <c r="E26"/>
      <c r="G26"/>
    </row>
    <row r="27" spans="5:9" x14ac:dyDescent="0.3">
      <c r="E27"/>
      <c r="G27"/>
    </row>
    <row r="28" spans="5:9" x14ac:dyDescent="0.3">
      <c r="E28"/>
      <c r="G28"/>
    </row>
    <row r="29" spans="5:9" x14ac:dyDescent="0.3">
      <c r="E29"/>
      <c r="G29"/>
    </row>
    <row r="30" spans="5:9" x14ac:dyDescent="0.3">
      <c r="E30"/>
      <c r="G30"/>
    </row>
    <row r="31" spans="5:9" x14ac:dyDescent="0.3">
      <c r="E31"/>
      <c r="G31"/>
    </row>
    <row r="32" spans="5:9" x14ac:dyDescent="0.3">
      <c r="E32"/>
      <c r="G32"/>
    </row>
    <row r="33" spans="5:7" x14ac:dyDescent="0.3">
      <c r="E33"/>
      <c r="G33"/>
    </row>
    <row r="34" spans="5:7" x14ac:dyDescent="0.3">
      <c r="E34"/>
      <c r="G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B3BD-16B7-4787-BE20-2C1C95A011A3}">
  <dimension ref="B2:W40"/>
  <sheetViews>
    <sheetView showGridLines="0" topLeftCell="A17" zoomScale="91" zoomScaleNormal="195" workbookViewId="0">
      <selection activeCell="J29" sqref="J29"/>
    </sheetView>
  </sheetViews>
  <sheetFormatPr defaultColWidth="8.69921875" defaultRowHeight="12.9" x14ac:dyDescent="0.25"/>
  <cols>
    <col min="1" max="1" width="3.3984375" style="1" customWidth="1"/>
    <col min="2" max="9" width="15.296875" style="1" customWidth="1"/>
    <col min="10" max="10" width="15.296875" style="2" customWidth="1"/>
    <col min="11" max="11" width="15.296875" style="3" customWidth="1"/>
    <col min="12" max="12" width="15.296875" style="2" customWidth="1"/>
    <col min="13" max="13" width="15.296875" style="1" customWidth="1"/>
    <col min="14" max="14" width="16.5" style="1" customWidth="1"/>
    <col min="15" max="15" width="8.59765625" style="4" customWidth="1"/>
    <col min="16" max="16" width="10" style="1" customWidth="1"/>
    <col min="17" max="17" width="16.09765625" style="2" customWidth="1"/>
    <col min="18" max="18" width="16.5" style="1" customWidth="1"/>
    <col min="19" max="19" width="7.5" style="33" customWidth="1"/>
    <col min="20" max="20" width="16.5" style="2" customWidth="1"/>
    <col min="21" max="21" width="7.5" style="4" customWidth="1"/>
    <col min="22" max="22" width="16.5" style="2" customWidth="1"/>
    <col min="23" max="23" width="10.3984375" style="2" customWidth="1"/>
    <col min="24" max="16384" width="8.69921875" style="1"/>
  </cols>
  <sheetData>
    <row r="2" spans="2:23" s="4" customFormat="1" ht="13.45" x14ac:dyDescent="0.3">
      <c r="B2" s="147" t="s">
        <v>21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P2" s="32"/>
      <c r="Q2" s="5"/>
      <c r="R2" s="34" t="s">
        <v>38</v>
      </c>
      <c r="S2" s="33">
        <v>0.06</v>
      </c>
      <c r="T2" s="5"/>
      <c r="V2" s="5"/>
      <c r="W2" s="5"/>
    </row>
    <row r="3" spans="2:23" x14ac:dyDescent="0.25">
      <c r="R3" s="34" t="s">
        <v>48</v>
      </c>
      <c r="S3" s="33">
        <v>0.2</v>
      </c>
    </row>
    <row r="4" spans="2:23" x14ac:dyDescent="0.25">
      <c r="B4" s="159" t="s">
        <v>16</v>
      </c>
      <c r="C4" s="159"/>
      <c r="D4" s="159"/>
      <c r="E4" s="159"/>
      <c r="F4" s="159"/>
      <c r="G4" s="155" t="s">
        <v>0</v>
      </c>
      <c r="H4" s="155"/>
      <c r="I4" s="155"/>
      <c r="J4" s="155"/>
      <c r="K4" s="155"/>
      <c r="L4" s="160"/>
      <c r="M4" s="31" t="s">
        <v>23</v>
      </c>
    </row>
    <row r="5" spans="2:23" x14ac:dyDescent="0.25">
      <c r="B5" s="12" t="s">
        <v>18</v>
      </c>
      <c r="C5" s="12" t="s">
        <v>6</v>
      </c>
      <c r="D5" s="13">
        <v>450000</v>
      </c>
      <c r="E5" s="14">
        <v>4.5</v>
      </c>
      <c r="F5" s="18">
        <f>D5*E5</f>
        <v>2025000</v>
      </c>
      <c r="G5" s="6" t="s">
        <v>3</v>
      </c>
      <c r="H5" s="6" t="s">
        <v>24</v>
      </c>
      <c r="I5" s="9" t="s">
        <v>4</v>
      </c>
      <c r="J5" s="10">
        <v>45000</v>
      </c>
      <c r="K5" s="11">
        <v>30</v>
      </c>
      <c r="L5" s="28">
        <f t="shared" ref="L5:L14" si="0">J5*K5</f>
        <v>1350000</v>
      </c>
      <c r="M5" s="7">
        <f>F5-L5</f>
        <v>675000</v>
      </c>
    </row>
    <row r="6" spans="2:23" x14ac:dyDescent="0.25">
      <c r="B6" s="15"/>
      <c r="C6" s="15"/>
      <c r="D6" s="15"/>
      <c r="E6" s="15"/>
      <c r="F6" s="19"/>
      <c r="G6" s="6" t="s">
        <v>5</v>
      </c>
      <c r="H6" s="6" t="s">
        <v>24</v>
      </c>
      <c r="I6" s="6" t="s">
        <v>6</v>
      </c>
      <c r="J6" s="7">
        <v>35000</v>
      </c>
      <c r="K6" s="8">
        <v>4.5</v>
      </c>
      <c r="L6" s="29">
        <f t="shared" si="0"/>
        <v>157500</v>
      </c>
      <c r="M6" s="7">
        <f>M5-L6</f>
        <v>517500</v>
      </c>
    </row>
    <row r="7" spans="2:23" x14ac:dyDescent="0.25">
      <c r="B7" s="15"/>
      <c r="C7" s="15"/>
      <c r="D7" s="15"/>
      <c r="E7" s="15"/>
      <c r="F7" s="19"/>
      <c r="G7" s="6" t="s">
        <v>7</v>
      </c>
      <c r="H7" s="6" t="s">
        <v>24</v>
      </c>
      <c r="I7" s="6" t="s">
        <v>2</v>
      </c>
      <c r="J7" s="7">
        <v>150000</v>
      </c>
      <c r="K7" s="8">
        <v>1</v>
      </c>
      <c r="L7" s="29">
        <f t="shared" si="0"/>
        <v>150000</v>
      </c>
      <c r="M7" s="7">
        <f t="shared" ref="M7:M12" si="1">M6-L7</f>
        <v>367500</v>
      </c>
    </row>
    <row r="8" spans="2:23" x14ac:dyDescent="0.25">
      <c r="B8" s="15"/>
      <c r="C8" s="15"/>
      <c r="D8" s="15"/>
      <c r="E8" s="15"/>
      <c r="F8" s="19"/>
      <c r="G8" s="6" t="s">
        <v>8</v>
      </c>
      <c r="H8" s="6" t="s">
        <v>24</v>
      </c>
      <c r="I8" s="6" t="s">
        <v>6</v>
      </c>
      <c r="J8" s="7">
        <v>25000</v>
      </c>
      <c r="K8" s="8">
        <v>4.5</v>
      </c>
      <c r="L8" s="29">
        <f t="shared" si="0"/>
        <v>112500</v>
      </c>
      <c r="M8" s="7">
        <f t="shared" si="1"/>
        <v>255000</v>
      </c>
    </row>
    <row r="9" spans="2:23" ht="14.65" customHeight="1" x14ac:dyDescent="0.25">
      <c r="B9" s="15"/>
      <c r="C9" s="15"/>
      <c r="D9" s="15"/>
      <c r="E9" s="15"/>
      <c r="F9" s="19"/>
      <c r="G9" s="6" t="s">
        <v>9</v>
      </c>
      <c r="H9" s="6" t="s">
        <v>24</v>
      </c>
      <c r="I9" s="6" t="s">
        <v>2</v>
      </c>
      <c r="J9" s="7">
        <v>75000</v>
      </c>
      <c r="K9" s="8">
        <v>1</v>
      </c>
      <c r="L9" s="29">
        <f t="shared" si="0"/>
        <v>75000</v>
      </c>
      <c r="M9" s="7">
        <f t="shared" si="1"/>
        <v>180000</v>
      </c>
      <c r="O9" s="31" t="s">
        <v>44</v>
      </c>
      <c r="P9" s="31" t="s">
        <v>45</v>
      </c>
      <c r="Q9" s="155" t="s">
        <v>43</v>
      </c>
      <c r="R9" s="155"/>
      <c r="S9" s="42" t="s">
        <v>47</v>
      </c>
      <c r="T9" s="36" t="s">
        <v>46</v>
      </c>
      <c r="U9" s="31" t="s">
        <v>47</v>
      </c>
      <c r="V9" s="36" t="s">
        <v>19</v>
      </c>
      <c r="W9" s="16"/>
    </row>
    <row r="10" spans="2:23" x14ac:dyDescent="0.25">
      <c r="B10" s="15"/>
      <c r="C10" s="15"/>
      <c r="D10" s="15"/>
      <c r="E10" s="15"/>
      <c r="F10" s="19"/>
      <c r="G10" s="6" t="s">
        <v>12</v>
      </c>
      <c r="H10" s="6" t="s">
        <v>25</v>
      </c>
      <c r="I10" s="6" t="s">
        <v>2</v>
      </c>
      <c r="J10" s="7">
        <v>120000</v>
      </c>
      <c r="K10" s="8">
        <v>1</v>
      </c>
      <c r="L10" s="29">
        <f t="shared" si="0"/>
        <v>120000</v>
      </c>
      <c r="M10" s="7">
        <f t="shared" si="1"/>
        <v>60000</v>
      </c>
      <c r="O10" s="37">
        <v>0</v>
      </c>
      <c r="P10" s="39">
        <v>45597</v>
      </c>
      <c r="Q10" s="7">
        <f>F19</f>
        <v>6525000</v>
      </c>
      <c r="R10" s="7">
        <f>F19*4</f>
        <v>26100000</v>
      </c>
      <c r="S10" s="38">
        <f>T10/R10</f>
        <v>0.61685823754789271</v>
      </c>
      <c r="T10" s="7">
        <f>L17*4</f>
        <v>16100000</v>
      </c>
      <c r="U10" s="38">
        <f>V10/R10</f>
        <v>0.57471264367816088</v>
      </c>
      <c r="V10" s="7">
        <f>L18*6</f>
        <v>15000000</v>
      </c>
      <c r="W10" s="7">
        <f>V10/6</f>
        <v>2500000</v>
      </c>
    </row>
    <row r="11" spans="2:23" x14ac:dyDescent="0.25">
      <c r="B11" s="15"/>
      <c r="C11" s="15"/>
      <c r="D11" s="15"/>
      <c r="E11" s="15"/>
      <c r="F11" s="19"/>
      <c r="G11" s="6" t="s">
        <v>13</v>
      </c>
      <c r="H11" s="6" t="s">
        <v>25</v>
      </c>
      <c r="I11" s="6" t="s">
        <v>2</v>
      </c>
      <c r="J11" s="7">
        <v>40000</v>
      </c>
      <c r="K11" s="8">
        <v>1</v>
      </c>
      <c r="L11" s="29">
        <f t="shared" si="0"/>
        <v>40000</v>
      </c>
      <c r="M11" s="7">
        <f t="shared" si="1"/>
        <v>20000</v>
      </c>
      <c r="O11" s="37">
        <v>1</v>
      </c>
      <c r="P11" s="39">
        <v>45778</v>
      </c>
      <c r="Q11" s="7">
        <f>L38</f>
        <v>8500000</v>
      </c>
      <c r="R11" s="7">
        <f>L38*12</f>
        <v>102000000</v>
      </c>
      <c r="S11" s="38">
        <f>T11/R11</f>
        <v>0.52941176470588236</v>
      </c>
      <c r="T11" s="7">
        <f>(L35+L36)*12</f>
        <v>54000000</v>
      </c>
      <c r="U11" s="38">
        <f>V11/R11</f>
        <v>0.47058823529411764</v>
      </c>
      <c r="V11" s="7">
        <f>L37*12</f>
        <v>48000000</v>
      </c>
      <c r="W11" s="40">
        <f t="shared" ref="W11:W30" si="2">V11/12</f>
        <v>4000000</v>
      </c>
    </row>
    <row r="12" spans="2:23" x14ac:dyDescent="0.25">
      <c r="B12" s="15"/>
      <c r="C12" s="15"/>
      <c r="D12" s="15"/>
      <c r="E12" s="15"/>
      <c r="F12" s="19"/>
      <c r="G12" s="6" t="s">
        <v>11</v>
      </c>
      <c r="H12" s="6" t="s">
        <v>14</v>
      </c>
      <c r="I12" s="6" t="s">
        <v>2</v>
      </c>
      <c r="J12" s="7">
        <v>20000</v>
      </c>
      <c r="K12" s="8">
        <v>1</v>
      </c>
      <c r="L12" s="29">
        <f t="shared" si="0"/>
        <v>20000</v>
      </c>
      <c r="M12" s="7">
        <f t="shared" si="1"/>
        <v>0</v>
      </c>
      <c r="O12" s="37">
        <v>2</v>
      </c>
      <c r="P12" s="39">
        <v>46143</v>
      </c>
      <c r="Q12" s="7">
        <f>(100%+$S$3)*(100%+($S$2-(5%*O10*$S$3)))*Q11</f>
        <v>10812000</v>
      </c>
      <c r="R12" s="7">
        <f>(100%+$S$3)*(100%+($S$2-(5%*O10*$S$3)))*R11</f>
        <v>129744000</v>
      </c>
      <c r="S12" s="38">
        <v>0.53</v>
      </c>
      <c r="T12" s="7">
        <f>S12*R12</f>
        <v>68764320</v>
      </c>
      <c r="U12" s="41">
        <f>100%-S12</f>
        <v>0.47</v>
      </c>
      <c r="V12" s="7">
        <f>U12*R12</f>
        <v>60979680</v>
      </c>
      <c r="W12" s="40">
        <f t="shared" si="2"/>
        <v>5081640</v>
      </c>
    </row>
    <row r="13" spans="2:23" x14ac:dyDescent="0.25">
      <c r="B13" s="12" t="s">
        <v>17</v>
      </c>
      <c r="C13" s="12" t="s">
        <v>2</v>
      </c>
      <c r="D13" s="13">
        <v>4500000</v>
      </c>
      <c r="E13" s="14">
        <v>1</v>
      </c>
      <c r="F13" s="18">
        <f>D13*E13</f>
        <v>4500000</v>
      </c>
      <c r="G13" s="6" t="s">
        <v>1</v>
      </c>
      <c r="H13" s="6" t="s">
        <v>24</v>
      </c>
      <c r="I13" s="6" t="s">
        <v>2</v>
      </c>
      <c r="J13" s="7">
        <v>1500000</v>
      </c>
      <c r="K13" s="8">
        <v>1</v>
      </c>
      <c r="L13" s="29">
        <f t="shared" si="0"/>
        <v>1500000</v>
      </c>
      <c r="M13" s="7">
        <f>F13-L13</f>
        <v>3000000</v>
      </c>
      <c r="O13" s="37">
        <v>3</v>
      </c>
      <c r="P13" s="39">
        <v>46508</v>
      </c>
      <c r="Q13" s="7">
        <f t="shared" ref="Q13:Q30" si="3">(100%+$S$3)*(100%+($S$2-(5%*O11*$S$3)))*Q12</f>
        <v>13623120</v>
      </c>
      <c r="R13" s="7">
        <f t="shared" ref="R13:R30" si="4">(100%+$S$3)*(100%+($S$2-(5%*O11*$S$3)))*R12</f>
        <v>163477440</v>
      </c>
      <c r="S13" s="38">
        <v>0.53</v>
      </c>
      <c r="T13" s="7">
        <f t="shared" ref="T13:T30" si="5">S13*R13</f>
        <v>86643043.200000003</v>
      </c>
      <c r="U13" s="41">
        <f t="shared" ref="U13:U30" si="6">100%-S13</f>
        <v>0.47</v>
      </c>
      <c r="V13" s="7">
        <f t="shared" ref="V13:V30" si="7">U13*R13</f>
        <v>76834396.799999997</v>
      </c>
      <c r="W13" s="40">
        <f t="shared" si="2"/>
        <v>6402866.3999999994</v>
      </c>
    </row>
    <row r="14" spans="2:23" x14ac:dyDescent="0.25">
      <c r="B14" s="15"/>
      <c r="C14" s="15"/>
      <c r="D14" s="15"/>
      <c r="E14" s="15"/>
      <c r="F14" s="19"/>
      <c r="G14" s="6" t="s">
        <v>10</v>
      </c>
      <c r="H14" s="6" t="s">
        <v>14</v>
      </c>
      <c r="I14" s="6" t="s">
        <v>2</v>
      </c>
      <c r="J14" s="7">
        <v>30000</v>
      </c>
      <c r="K14" s="8">
        <v>1</v>
      </c>
      <c r="L14" s="29">
        <f t="shared" si="0"/>
        <v>30000</v>
      </c>
      <c r="M14" s="7">
        <f>M13-L14</f>
        <v>2970000</v>
      </c>
      <c r="O14" s="37">
        <v>4</v>
      </c>
      <c r="P14" s="39">
        <v>46874</v>
      </c>
      <c r="Q14" s="7">
        <f t="shared" si="3"/>
        <v>17001653.760000002</v>
      </c>
      <c r="R14" s="7">
        <f t="shared" si="4"/>
        <v>204019845.12</v>
      </c>
      <c r="S14" s="38">
        <v>0.53</v>
      </c>
      <c r="T14" s="7">
        <f t="shared" si="5"/>
        <v>108130517.91360001</v>
      </c>
      <c r="U14" s="41">
        <f t="shared" si="6"/>
        <v>0.47</v>
      </c>
      <c r="V14" s="7">
        <f t="shared" si="7"/>
        <v>95889327.206399992</v>
      </c>
      <c r="W14" s="40">
        <f t="shared" si="2"/>
        <v>7990777.2671999997</v>
      </c>
    </row>
    <row r="15" spans="2:23" x14ac:dyDescent="0.25">
      <c r="B15" s="15"/>
      <c r="C15" s="15"/>
      <c r="D15" s="15"/>
      <c r="E15" s="15"/>
      <c r="F15" s="19"/>
      <c r="G15" s="6" t="s">
        <v>49</v>
      </c>
      <c r="H15" s="6" t="s">
        <v>14</v>
      </c>
      <c r="I15" s="6" t="s">
        <v>6</v>
      </c>
      <c r="J15" s="7">
        <v>75000</v>
      </c>
      <c r="K15" s="8">
        <v>4</v>
      </c>
      <c r="L15" s="29">
        <f t="shared" ref="L15" si="8">J15*K15</f>
        <v>300000</v>
      </c>
      <c r="M15" s="7">
        <f t="shared" ref="M15:M16" si="9">M14-L15</f>
        <v>2670000</v>
      </c>
      <c r="O15" s="37">
        <v>5</v>
      </c>
      <c r="P15" s="39">
        <v>47239</v>
      </c>
      <c r="Q15" s="7">
        <f t="shared" si="3"/>
        <v>21014044.047360003</v>
      </c>
      <c r="R15" s="7">
        <f t="shared" si="4"/>
        <v>252168528.56832001</v>
      </c>
      <c r="S15" s="38">
        <v>0.53</v>
      </c>
      <c r="T15" s="7">
        <f t="shared" si="5"/>
        <v>133649320.14120962</v>
      </c>
      <c r="U15" s="41">
        <f t="shared" si="6"/>
        <v>0.47</v>
      </c>
      <c r="V15" s="7">
        <f t="shared" si="7"/>
        <v>118519208.42711039</v>
      </c>
      <c r="W15" s="40">
        <f t="shared" si="2"/>
        <v>9876600.7022591997</v>
      </c>
    </row>
    <row r="16" spans="2:23" x14ac:dyDescent="0.25">
      <c r="B16" s="15"/>
      <c r="C16" s="15"/>
      <c r="D16" s="15"/>
      <c r="E16" s="15"/>
      <c r="F16" s="19"/>
      <c r="G16" s="12" t="s">
        <v>15</v>
      </c>
      <c r="H16" s="12" t="s">
        <v>24</v>
      </c>
      <c r="I16" s="12" t="s">
        <v>2</v>
      </c>
      <c r="J16" s="13">
        <v>170000</v>
      </c>
      <c r="K16" s="14">
        <v>1</v>
      </c>
      <c r="L16" s="29">
        <f t="shared" ref="L16" si="10">J16*K16</f>
        <v>170000</v>
      </c>
      <c r="M16" s="7">
        <f t="shared" si="9"/>
        <v>2500000</v>
      </c>
      <c r="O16" s="37">
        <v>6</v>
      </c>
      <c r="P16" s="39">
        <v>47604</v>
      </c>
      <c r="Q16" s="7">
        <f t="shared" si="3"/>
        <v>25721189.913968645</v>
      </c>
      <c r="R16" s="7">
        <f t="shared" si="4"/>
        <v>308654278.96762371</v>
      </c>
      <c r="S16" s="38">
        <v>0.55000000000000004</v>
      </c>
      <c r="T16" s="7">
        <f t="shared" si="5"/>
        <v>169759853.43219304</v>
      </c>
      <c r="U16" s="41">
        <f t="shared" si="6"/>
        <v>0.44999999999999996</v>
      </c>
      <c r="V16" s="7">
        <f t="shared" si="7"/>
        <v>138894425.53543067</v>
      </c>
      <c r="W16" s="40">
        <f t="shared" si="2"/>
        <v>11574535.461285889</v>
      </c>
    </row>
    <row r="17" spans="2:23" x14ac:dyDescent="0.25">
      <c r="B17" s="15"/>
      <c r="C17" s="15"/>
      <c r="D17" s="15"/>
      <c r="E17" s="15"/>
      <c r="F17" s="19"/>
      <c r="G17" s="156" t="s">
        <v>26</v>
      </c>
      <c r="H17" s="157"/>
      <c r="I17" s="157"/>
      <c r="J17" s="157"/>
      <c r="K17" s="158"/>
      <c r="L17" s="30">
        <f>SUM(L5:L16)</f>
        <v>4025000</v>
      </c>
      <c r="M17" s="6"/>
      <c r="O17" s="37">
        <v>7</v>
      </c>
      <c r="P17" s="39">
        <v>47969</v>
      </c>
      <c r="Q17" s="7">
        <f t="shared" si="3"/>
        <v>31174082.175729997</v>
      </c>
      <c r="R17" s="7">
        <f t="shared" si="4"/>
        <v>374088986.10875994</v>
      </c>
      <c r="S17" s="38">
        <v>0.55000000000000004</v>
      </c>
      <c r="T17" s="7">
        <f t="shared" si="5"/>
        <v>205748942.35981798</v>
      </c>
      <c r="U17" s="41">
        <f t="shared" si="6"/>
        <v>0.44999999999999996</v>
      </c>
      <c r="V17" s="7">
        <f t="shared" si="7"/>
        <v>168340043.74894196</v>
      </c>
      <c r="W17" s="40">
        <f t="shared" si="2"/>
        <v>14028336.979078496</v>
      </c>
    </row>
    <row r="18" spans="2:23" x14ac:dyDescent="0.25">
      <c r="B18" s="15"/>
      <c r="C18" s="15"/>
      <c r="D18" s="15"/>
      <c r="E18" s="15"/>
      <c r="F18" s="9"/>
      <c r="G18" s="25" t="s">
        <v>19</v>
      </c>
      <c r="H18" s="26"/>
      <c r="I18" s="26"/>
      <c r="J18" s="26"/>
      <c r="K18" s="27"/>
      <c r="L18" s="29">
        <f>F19-L17</f>
        <v>2500000</v>
      </c>
      <c r="M18" s="7">
        <f>M16-L18</f>
        <v>0</v>
      </c>
      <c r="O18" s="37">
        <v>8</v>
      </c>
      <c r="P18" s="39">
        <v>48335</v>
      </c>
      <c r="Q18" s="7">
        <f t="shared" si="3"/>
        <v>37408898.610875994</v>
      </c>
      <c r="R18" s="7">
        <f t="shared" si="4"/>
        <v>448906783.33051193</v>
      </c>
      <c r="S18" s="38">
        <v>0.55000000000000004</v>
      </c>
      <c r="T18" s="7">
        <f t="shared" si="5"/>
        <v>246898730.83178157</v>
      </c>
      <c r="U18" s="41">
        <f t="shared" si="6"/>
        <v>0.44999999999999996</v>
      </c>
      <c r="V18" s="7">
        <f t="shared" si="7"/>
        <v>202008052.49873036</v>
      </c>
      <c r="W18" s="40">
        <f t="shared" si="2"/>
        <v>16834004.374894198</v>
      </c>
    </row>
    <row r="19" spans="2:23" x14ac:dyDescent="0.25">
      <c r="B19" s="20" t="s">
        <v>20</v>
      </c>
      <c r="C19" s="21"/>
      <c r="D19" s="21"/>
      <c r="E19" s="22"/>
      <c r="F19" s="24">
        <f>SUM(F5:F18)</f>
        <v>6525000</v>
      </c>
      <c r="G19" s="20" t="s">
        <v>20</v>
      </c>
      <c r="H19" s="21"/>
      <c r="I19" s="21"/>
      <c r="J19" s="21"/>
      <c r="K19" s="23"/>
      <c r="L19" s="16">
        <f>SUM(L17+L18)</f>
        <v>6525000</v>
      </c>
      <c r="M19" s="17" t="b">
        <f>L19=F19</f>
        <v>1</v>
      </c>
      <c r="O19" s="37">
        <v>9</v>
      </c>
      <c r="P19" s="39">
        <v>48700</v>
      </c>
      <c r="Q19" s="7">
        <f t="shared" si="3"/>
        <v>44441771.549720682</v>
      </c>
      <c r="R19" s="7">
        <f t="shared" si="4"/>
        <v>533301258.59664816</v>
      </c>
      <c r="S19" s="38">
        <v>0.55000000000000004</v>
      </c>
      <c r="T19" s="7">
        <f t="shared" si="5"/>
        <v>293315692.22815651</v>
      </c>
      <c r="U19" s="41">
        <f t="shared" si="6"/>
        <v>0.44999999999999996</v>
      </c>
      <c r="V19" s="7">
        <f t="shared" si="7"/>
        <v>239985566.36849165</v>
      </c>
      <c r="W19" s="40">
        <f t="shared" si="2"/>
        <v>19998797.197374303</v>
      </c>
    </row>
    <row r="20" spans="2:23" x14ac:dyDescent="0.25">
      <c r="O20" s="37">
        <v>10</v>
      </c>
      <c r="P20" s="39">
        <v>49065</v>
      </c>
      <c r="Q20" s="7">
        <f t="shared" si="3"/>
        <v>52263523.342471518</v>
      </c>
      <c r="R20" s="7">
        <f t="shared" si="4"/>
        <v>627162280.10965824</v>
      </c>
      <c r="S20" s="38">
        <v>0.55000000000000004</v>
      </c>
      <c r="T20" s="7">
        <f t="shared" si="5"/>
        <v>344939254.06031203</v>
      </c>
      <c r="U20" s="41">
        <f t="shared" si="6"/>
        <v>0.44999999999999996</v>
      </c>
      <c r="V20" s="7">
        <f t="shared" si="7"/>
        <v>282223026.04934621</v>
      </c>
      <c r="W20" s="40">
        <f t="shared" si="2"/>
        <v>23518585.504112184</v>
      </c>
    </row>
    <row r="21" spans="2:23" x14ac:dyDescent="0.25">
      <c r="O21" s="37">
        <v>11</v>
      </c>
      <c r="P21" s="39">
        <v>49430</v>
      </c>
      <c r="Q21" s="7">
        <f t="shared" si="3"/>
        <v>60834741.17063684</v>
      </c>
      <c r="R21" s="7">
        <f t="shared" si="4"/>
        <v>730016894.04764211</v>
      </c>
      <c r="S21" s="38">
        <v>0.57999999999999996</v>
      </c>
      <c r="T21" s="7">
        <f t="shared" si="5"/>
        <v>423409798.5476324</v>
      </c>
      <c r="U21" s="41">
        <f t="shared" si="6"/>
        <v>0.42000000000000004</v>
      </c>
      <c r="V21" s="7">
        <f t="shared" si="7"/>
        <v>306607095.50000972</v>
      </c>
      <c r="W21" s="40">
        <f t="shared" si="2"/>
        <v>25550591.291667476</v>
      </c>
    </row>
    <row r="22" spans="2:23" ht="13.45" x14ac:dyDescent="0.3">
      <c r="B22" s="147" t="s">
        <v>22</v>
      </c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O22" s="37">
        <v>12</v>
      </c>
      <c r="P22" s="39">
        <v>49796</v>
      </c>
      <c r="Q22" s="7">
        <f t="shared" si="3"/>
        <v>70081621.828573629</v>
      </c>
      <c r="R22" s="7">
        <f t="shared" si="4"/>
        <v>840979461.94288361</v>
      </c>
      <c r="S22" s="38">
        <v>0.57999999999999996</v>
      </c>
      <c r="T22" s="7">
        <f t="shared" si="5"/>
        <v>487768087.92687243</v>
      </c>
      <c r="U22" s="41">
        <f t="shared" si="6"/>
        <v>0.42000000000000004</v>
      </c>
      <c r="V22" s="7">
        <f t="shared" si="7"/>
        <v>353211374.01601118</v>
      </c>
      <c r="W22" s="40">
        <f t="shared" si="2"/>
        <v>29434281.168000933</v>
      </c>
    </row>
    <row r="23" spans="2:23" x14ac:dyDescent="0.25">
      <c r="O23" s="37">
        <v>13</v>
      </c>
      <c r="P23" s="39">
        <v>50161</v>
      </c>
      <c r="Q23" s="7">
        <f t="shared" si="3"/>
        <v>79893048.884573936</v>
      </c>
      <c r="R23" s="7">
        <f t="shared" si="4"/>
        <v>958716586.61488724</v>
      </c>
      <c r="S23" s="38">
        <v>0.57999999999999996</v>
      </c>
      <c r="T23" s="7">
        <f t="shared" si="5"/>
        <v>556055620.23663461</v>
      </c>
      <c r="U23" s="41">
        <f t="shared" si="6"/>
        <v>0.42000000000000004</v>
      </c>
      <c r="V23" s="7">
        <f t="shared" si="7"/>
        <v>402660966.37825269</v>
      </c>
      <c r="W23" s="40">
        <f t="shared" si="2"/>
        <v>33555080.53152106</v>
      </c>
    </row>
    <row r="24" spans="2:23" x14ac:dyDescent="0.25">
      <c r="B24" s="159" t="s">
        <v>16</v>
      </c>
      <c r="C24" s="159"/>
      <c r="D24" s="159"/>
      <c r="E24" s="159"/>
      <c r="F24" s="159"/>
      <c r="G24" s="155" t="s">
        <v>0</v>
      </c>
      <c r="H24" s="155"/>
      <c r="I24" s="155"/>
      <c r="J24" s="155"/>
      <c r="K24" s="155"/>
      <c r="L24" s="160"/>
      <c r="M24" s="31" t="s">
        <v>23</v>
      </c>
      <c r="O24" s="37">
        <v>14</v>
      </c>
      <c r="P24" s="39">
        <v>50526</v>
      </c>
      <c r="Q24" s="7">
        <f t="shared" si="3"/>
        <v>90119359.14179939</v>
      </c>
      <c r="R24" s="7">
        <f t="shared" si="4"/>
        <v>1081432309.7015927</v>
      </c>
      <c r="S24" s="38">
        <v>0.57999999999999996</v>
      </c>
      <c r="T24" s="7">
        <f t="shared" si="5"/>
        <v>627230739.62692368</v>
      </c>
      <c r="U24" s="41">
        <f t="shared" si="6"/>
        <v>0.42000000000000004</v>
      </c>
      <c r="V24" s="7">
        <f t="shared" si="7"/>
        <v>454201570.07466894</v>
      </c>
      <c r="W24" s="40">
        <f t="shared" si="2"/>
        <v>37850130.839555748</v>
      </c>
    </row>
    <row r="25" spans="2:23" x14ac:dyDescent="0.25">
      <c r="B25" s="12" t="s">
        <v>17</v>
      </c>
      <c r="C25" s="12" t="s">
        <v>2</v>
      </c>
      <c r="D25" s="13">
        <v>8500000</v>
      </c>
      <c r="E25" s="14">
        <v>1</v>
      </c>
      <c r="F25" s="13">
        <f>D25*E25</f>
        <v>8500000</v>
      </c>
      <c r="G25" s="6" t="s">
        <v>3</v>
      </c>
      <c r="H25" s="6" t="s">
        <v>24</v>
      </c>
      <c r="I25" s="9" t="s">
        <v>4</v>
      </c>
      <c r="J25" s="10">
        <v>50000</v>
      </c>
      <c r="K25" s="11">
        <v>30</v>
      </c>
      <c r="L25" s="28">
        <f t="shared" ref="L25:L32" si="11">J25*K25</f>
        <v>1500000</v>
      </c>
      <c r="M25" s="7">
        <f>F25-L25</f>
        <v>7000000</v>
      </c>
      <c r="O25" s="37">
        <v>15</v>
      </c>
      <c r="P25" s="39">
        <v>50891</v>
      </c>
      <c r="Q25" s="7">
        <f t="shared" si="3"/>
        <v>100573204.80224811</v>
      </c>
      <c r="R25" s="7">
        <f t="shared" si="4"/>
        <v>1206878457.6269772</v>
      </c>
      <c r="S25" s="38">
        <v>0.57999999999999996</v>
      </c>
      <c r="T25" s="7">
        <f t="shared" si="5"/>
        <v>699989505.42364669</v>
      </c>
      <c r="U25" s="41">
        <f t="shared" si="6"/>
        <v>0.42000000000000004</v>
      </c>
      <c r="V25" s="7">
        <f t="shared" si="7"/>
        <v>506888952.20333046</v>
      </c>
      <c r="W25" s="40">
        <f t="shared" si="2"/>
        <v>42240746.016944207</v>
      </c>
    </row>
    <row r="26" spans="2:23" x14ac:dyDescent="0.25">
      <c r="B26" s="15"/>
      <c r="C26" s="15"/>
      <c r="D26" s="15"/>
      <c r="E26" s="15"/>
      <c r="F26" s="15"/>
      <c r="G26" s="6" t="s">
        <v>5</v>
      </c>
      <c r="H26" s="6" t="s">
        <v>24</v>
      </c>
      <c r="I26" s="6" t="s">
        <v>6</v>
      </c>
      <c r="J26" s="7">
        <v>35000</v>
      </c>
      <c r="K26" s="8">
        <v>4</v>
      </c>
      <c r="L26" s="29">
        <f t="shared" si="11"/>
        <v>140000</v>
      </c>
      <c r="M26" s="7">
        <f>M25-L26</f>
        <v>6860000</v>
      </c>
      <c r="O26" s="37">
        <v>16</v>
      </c>
      <c r="P26" s="39">
        <v>51257</v>
      </c>
      <c r="Q26" s="7">
        <f t="shared" si="3"/>
        <v>111032818.10168189</v>
      </c>
      <c r="R26" s="7">
        <f t="shared" si="4"/>
        <v>1332393817.2201827</v>
      </c>
      <c r="S26" s="38">
        <v>0.6</v>
      </c>
      <c r="T26" s="7">
        <f t="shared" si="5"/>
        <v>799436290.33210957</v>
      </c>
      <c r="U26" s="41">
        <f t="shared" si="6"/>
        <v>0.4</v>
      </c>
      <c r="V26" s="7">
        <f t="shared" si="7"/>
        <v>532957526.88807309</v>
      </c>
      <c r="W26" s="40">
        <f t="shared" si="2"/>
        <v>44413127.24067276</v>
      </c>
    </row>
    <row r="27" spans="2:23" x14ac:dyDescent="0.25">
      <c r="B27" s="15"/>
      <c r="C27" s="15"/>
      <c r="D27" s="15"/>
      <c r="E27" s="15"/>
      <c r="F27" s="15"/>
      <c r="G27" s="6" t="s">
        <v>8</v>
      </c>
      <c r="H27" s="6" t="s">
        <v>24</v>
      </c>
      <c r="I27" s="6" t="s">
        <v>6</v>
      </c>
      <c r="J27" s="7">
        <v>0</v>
      </c>
      <c r="K27" s="8">
        <v>4</v>
      </c>
      <c r="L27" s="29">
        <f t="shared" si="11"/>
        <v>0</v>
      </c>
      <c r="M27" s="7">
        <f t="shared" ref="M27:M34" si="12">M26-L27</f>
        <v>6860000</v>
      </c>
      <c r="O27" s="37">
        <v>17</v>
      </c>
      <c r="P27" s="39">
        <v>51622</v>
      </c>
      <c r="Q27" s="7">
        <f t="shared" si="3"/>
        <v>121247837.36703661</v>
      </c>
      <c r="R27" s="7">
        <f t="shared" si="4"/>
        <v>1454974048.4044392</v>
      </c>
      <c r="S27" s="38">
        <v>0.6</v>
      </c>
      <c r="T27" s="7">
        <f t="shared" si="5"/>
        <v>872984429.04266346</v>
      </c>
      <c r="U27" s="41">
        <f t="shared" si="6"/>
        <v>0.4</v>
      </c>
      <c r="V27" s="7">
        <f t="shared" si="7"/>
        <v>581989619.36177576</v>
      </c>
      <c r="W27" s="40">
        <f t="shared" si="2"/>
        <v>48499134.946814649</v>
      </c>
    </row>
    <row r="28" spans="2:23" x14ac:dyDescent="0.25">
      <c r="B28" s="15"/>
      <c r="C28" s="15"/>
      <c r="D28" s="15"/>
      <c r="E28" s="15"/>
      <c r="F28" s="15"/>
      <c r="G28" s="6" t="s">
        <v>9</v>
      </c>
      <c r="H28" s="6" t="s">
        <v>24</v>
      </c>
      <c r="I28" s="6" t="s">
        <v>2</v>
      </c>
      <c r="J28" s="7">
        <v>100000</v>
      </c>
      <c r="K28" s="8">
        <v>1</v>
      </c>
      <c r="L28" s="29">
        <f t="shared" si="11"/>
        <v>100000</v>
      </c>
      <c r="M28" s="7">
        <f t="shared" si="12"/>
        <v>6760000</v>
      </c>
      <c r="O28" s="37">
        <v>18</v>
      </c>
      <c r="P28" s="39">
        <v>51987</v>
      </c>
      <c r="Q28" s="7">
        <f t="shared" si="3"/>
        <v>130947664.35639952</v>
      </c>
      <c r="R28" s="7">
        <f t="shared" si="4"/>
        <v>1571371972.2767942</v>
      </c>
      <c r="S28" s="38">
        <v>0.6</v>
      </c>
      <c r="T28" s="7">
        <f t="shared" si="5"/>
        <v>942823183.36607647</v>
      </c>
      <c r="U28" s="41">
        <f t="shared" si="6"/>
        <v>0.4</v>
      </c>
      <c r="V28" s="7">
        <f t="shared" si="7"/>
        <v>628548788.91071773</v>
      </c>
      <c r="W28" s="40">
        <f t="shared" si="2"/>
        <v>52379065.742559813</v>
      </c>
    </row>
    <row r="29" spans="2:23" x14ac:dyDescent="0.25">
      <c r="B29" s="15"/>
      <c r="C29" s="15"/>
      <c r="D29" s="15"/>
      <c r="E29" s="15"/>
      <c r="F29" s="15"/>
      <c r="G29" s="6" t="s">
        <v>12</v>
      </c>
      <c r="H29" s="6" t="s">
        <v>25</v>
      </c>
      <c r="I29" s="6" t="s">
        <v>2</v>
      </c>
      <c r="J29" s="7">
        <v>75000</v>
      </c>
      <c r="K29" s="8">
        <v>1</v>
      </c>
      <c r="L29" s="29">
        <f t="shared" si="11"/>
        <v>75000</v>
      </c>
      <c r="M29" s="7">
        <f t="shared" si="12"/>
        <v>6685000</v>
      </c>
      <c r="O29" s="37">
        <v>19</v>
      </c>
      <c r="P29" s="39">
        <v>52352</v>
      </c>
      <c r="Q29" s="7">
        <f t="shared" si="3"/>
        <v>139852105.53263468</v>
      </c>
      <c r="R29" s="7">
        <f t="shared" si="4"/>
        <v>1678225266.3916159</v>
      </c>
      <c r="S29" s="38">
        <v>0.6</v>
      </c>
      <c r="T29" s="7">
        <f t="shared" si="5"/>
        <v>1006935159.8349695</v>
      </c>
      <c r="U29" s="41">
        <f t="shared" si="6"/>
        <v>0.4</v>
      </c>
      <c r="V29" s="7">
        <f t="shared" si="7"/>
        <v>671290106.55664635</v>
      </c>
      <c r="W29" s="40">
        <f t="shared" si="2"/>
        <v>55940842.21305386</v>
      </c>
    </row>
    <row r="30" spans="2:23" x14ac:dyDescent="0.25">
      <c r="B30" s="15"/>
      <c r="C30" s="15"/>
      <c r="D30" s="15"/>
      <c r="E30" s="15"/>
      <c r="F30" s="15"/>
      <c r="G30" s="6" t="s">
        <v>13</v>
      </c>
      <c r="H30" s="6" t="s">
        <v>25</v>
      </c>
      <c r="I30" s="6" t="s">
        <v>2</v>
      </c>
      <c r="J30" s="7">
        <v>60000</v>
      </c>
      <c r="K30" s="8">
        <v>1</v>
      </c>
      <c r="L30" s="29">
        <f t="shared" si="11"/>
        <v>60000</v>
      </c>
      <c r="M30" s="7">
        <f t="shared" si="12"/>
        <v>6625000</v>
      </c>
      <c r="O30" s="37">
        <v>20</v>
      </c>
      <c r="P30" s="39">
        <v>52718</v>
      </c>
      <c r="Q30" s="7">
        <f t="shared" si="3"/>
        <v>147683823.44246224</v>
      </c>
      <c r="R30" s="7">
        <f t="shared" si="4"/>
        <v>1772205881.3095465</v>
      </c>
      <c r="S30" s="38">
        <v>0.6</v>
      </c>
      <c r="T30" s="7">
        <f t="shared" si="5"/>
        <v>1063323528.7857279</v>
      </c>
      <c r="U30" s="41">
        <f t="shared" si="6"/>
        <v>0.4</v>
      </c>
      <c r="V30" s="7">
        <f t="shared" si="7"/>
        <v>708882352.52381861</v>
      </c>
      <c r="W30" s="40">
        <f t="shared" si="2"/>
        <v>59073529.376984887</v>
      </c>
    </row>
    <row r="31" spans="2:23" x14ac:dyDescent="0.25">
      <c r="B31" s="15"/>
      <c r="C31" s="15"/>
      <c r="D31" s="15"/>
      <c r="E31" s="15"/>
      <c r="F31" s="15"/>
      <c r="G31" s="6" t="s">
        <v>1</v>
      </c>
      <c r="H31" s="6" t="s">
        <v>24</v>
      </c>
      <c r="I31" s="6" t="s">
        <v>2</v>
      </c>
      <c r="J31" s="7">
        <v>1600000</v>
      </c>
      <c r="K31" s="8">
        <v>1</v>
      </c>
      <c r="L31" s="29">
        <f t="shared" si="11"/>
        <v>1600000</v>
      </c>
      <c r="M31" s="7">
        <f t="shared" si="12"/>
        <v>5025000</v>
      </c>
    </row>
    <row r="32" spans="2:23" x14ac:dyDescent="0.25">
      <c r="B32" s="15"/>
      <c r="C32" s="15"/>
      <c r="D32" s="15"/>
      <c r="E32" s="15"/>
      <c r="F32" s="15"/>
      <c r="G32" s="6" t="s">
        <v>10</v>
      </c>
      <c r="H32" s="6" t="s">
        <v>14</v>
      </c>
      <c r="I32" s="6" t="s">
        <v>2</v>
      </c>
      <c r="J32" s="7">
        <v>35000</v>
      </c>
      <c r="K32" s="8">
        <v>1</v>
      </c>
      <c r="L32" s="29">
        <f t="shared" si="11"/>
        <v>35000</v>
      </c>
      <c r="M32" s="7">
        <f t="shared" si="12"/>
        <v>4990000</v>
      </c>
    </row>
    <row r="33" spans="2:13" x14ac:dyDescent="0.25">
      <c r="B33" s="15"/>
      <c r="C33" s="15"/>
      <c r="D33" s="15"/>
      <c r="E33" s="15"/>
      <c r="F33" s="15"/>
      <c r="G33" s="6" t="s">
        <v>49</v>
      </c>
      <c r="H33" s="6" t="s">
        <v>14</v>
      </c>
      <c r="I33" s="6" t="s">
        <v>6</v>
      </c>
      <c r="J33" s="7">
        <v>70000</v>
      </c>
      <c r="K33" s="8">
        <v>4</v>
      </c>
      <c r="L33" s="29">
        <f t="shared" ref="L33:L34" si="13">J33*K33</f>
        <v>280000</v>
      </c>
      <c r="M33" s="7">
        <f t="shared" si="12"/>
        <v>4710000</v>
      </c>
    </row>
    <row r="34" spans="2:13" x14ac:dyDescent="0.25">
      <c r="B34" s="15"/>
      <c r="C34" s="15"/>
      <c r="D34" s="15"/>
      <c r="E34" s="15"/>
      <c r="F34" s="15"/>
      <c r="G34" s="12" t="s">
        <v>15</v>
      </c>
      <c r="H34" s="12" t="s">
        <v>24</v>
      </c>
      <c r="I34" s="12" t="s">
        <v>2</v>
      </c>
      <c r="J34" s="13">
        <v>210000</v>
      </c>
      <c r="K34" s="14">
        <v>1</v>
      </c>
      <c r="L34" s="29">
        <f t="shared" si="13"/>
        <v>210000</v>
      </c>
      <c r="M34" s="7">
        <f t="shared" si="12"/>
        <v>4500000</v>
      </c>
    </row>
    <row r="35" spans="2:13" x14ac:dyDescent="0.25">
      <c r="B35" s="15"/>
      <c r="C35" s="15"/>
      <c r="D35" s="15"/>
      <c r="E35" s="15"/>
      <c r="F35" s="15"/>
      <c r="G35" s="156" t="s">
        <v>26</v>
      </c>
      <c r="H35" s="157"/>
      <c r="I35" s="157"/>
      <c r="J35" s="157"/>
      <c r="K35" s="158"/>
      <c r="L35" s="30">
        <f>SUM(L25:L34)</f>
        <v>4000000</v>
      </c>
      <c r="M35" s="6"/>
    </row>
    <row r="36" spans="2:13" x14ac:dyDescent="0.25">
      <c r="B36" s="15"/>
      <c r="C36" s="15"/>
      <c r="D36" s="15"/>
      <c r="E36" s="15"/>
      <c r="F36" s="15"/>
      <c r="G36" s="25" t="s">
        <v>27</v>
      </c>
      <c r="H36" s="26"/>
      <c r="I36" s="26"/>
      <c r="J36" s="26"/>
      <c r="K36" s="27"/>
      <c r="L36" s="30">
        <v>500000</v>
      </c>
      <c r="M36" s="7">
        <f>M34-L36</f>
        <v>4000000</v>
      </c>
    </row>
    <row r="37" spans="2:13" x14ac:dyDescent="0.25">
      <c r="B37" s="9"/>
      <c r="C37" s="9"/>
      <c r="D37" s="9"/>
      <c r="E37" s="9"/>
      <c r="F37" s="9"/>
      <c r="G37" s="25" t="s">
        <v>19</v>
      </c>
      <c r="H37" s="26"/>
      <c r="I37" s="26"/>
      <c r="J37" s="26"/>
      <c r="K37" s="27"/>
      <c r="L37" s="29">
        <f>M36</f>
        <v>4000000</v>
      </c>
      <c r="M37" s="7">
        <f>M36-L37</f>
        <v>0</v>
      </c>
    </row>
    <row r="38" spans="2:13" x14ac:dyDescent="0.25">
      <c r="B38" s="20" t="s">
        <v>20</v>
      </c>
      <c r="C38" s="21"/>
      <c r="D38" s="21"/>
      <c r="E38" s="22"/>
      <c r="F38" s="24">
        <f>SUM(F25:F37)</f>
        <v>8500000</v>
      </c>
      <c r="G38" s="20" t="s">
        <v>20</v>
      </c>
      <c r="H38" s="21"/>
      <c r="I38" s="21"/>
      <c r="J38" s="21"/>
      <c r="K38" s="23"/>
      <c r="L38" s="16">
        <f>L35+L36+L37</f>
        <v>8500000</v>
      </c>
      <c r="M38" s="17" t="b">
        <f>L38=F38</f>
        <v>1</v>
      </c>
    </row>
    <row r="40" spans="2:13" x14ac:dyDescent="0.25">
      <c r="C40" s="2"/>
      <c r="D40" s="2"/>
      <c r="E40" s="2"/>
      <c r="F40" s="2"/>
      <c r="G40" s="2"/>
      <c r="H40" s="2"/>
      <c r="I40" s="2"/>
    </row>
  </sheetData>
  <mergeCells count="9">
    <mergeCell ref="Q9:R9"/>
    <mergeCell ref="G35:K35"/>
    <mergeCell ref="B2:M2"/>
    <mergeCell ref="B22:M22"/>
    <mergeCell ref="B24:F24"/>
    <mergeCell ref="G24:L24"/>
    <mergeCell ref="G4:L4"/>
    <mergeCell ref="G17:K17"/>
    <mergeCell ref="B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FCD2-FBB7-4319-872D-97947CF96572}">
  <dimension ref="A1:I14"/>
  <sheetViews>
    <sheetView showGridLines="0" workbookViewId="0">
      <selection activeCell="I3" sqref="I3"/>
    </sheetView>
  </sheetViews>
  <sheetFormatPr defaultRowHeight="14" x14ac:dyDescent="0.3"/>
  <cols>
    <col min="1" max="1" width="19.19921875" customWidth="1"/>
    <col min="2" max="2" width="14.3984375" customWidth="1"/>
    <col min="3" max="3" width="1.69921875" customWidth="1"/>
    <col min="4" max="4" width="14.3984375" customWidth="1"/>
    <col min="5" max="5" width="1.69921875" customWidth="1"/>
    <col min="6" max="6" width="14.3984375" customWidth="1"/>
    <col min="7" max="7" width="1.69921875" customWidth="1"/>
    <col min="8" max="8" width="14.3984375" customWidth="1"/>
    <col min="9" max="9" width="42.3984375" customWidth="1"/>
  </cols>
  <sheetData>
    <row r="1" spans="1:9" x14ac:dyDescent="0.3">
      <c r="A1" s="92" t="s">
        <v>134</v>
      </c>
      <c r="B1" s="92" t="s">
        <v>135</v>
      </c>
      <c r="C1" s="92"/>
      <c r="D1" s="92" t="s">
        <v>133</v>
      </c>
      <c r="E1" s="92"/>
      <c r="F1" s="92" t="s">
        <v>50</v>
      </c>
      <c r="G1" s="92"/>
      <c r="H1" s="92" t="s">
        <v>64</v>
      </c>
      <c r="I1" s="92" t="s">
        <v>136</v>
      </c>
    </row>
    <row r="2" spans="1:9" x14ac:dyDescent="0.3">
      <c r="A2" s="44" t="s">
        <v>120</v>
      </c>
      <c r="B2" s="84">
        <v>1000000</v>
      </c>
      <c r="C2" s="84"/>
      <c r="D2" s="44">
        <f>597000+100000+285000</f>
        <v>982000</v>
      </c>
      <c r="E2" s="44"/>
      <c r="F2" s="44"/>
      <c r="G2" s="44"/>
      <c r="H2" s="44">
        <f>B2-D2-F2</f>
        <v>18000</v>
      </c>
      <c r="I2" s="100" t="s">
        <v>63</v>
      </c>
    </row>
    <row r="3" spans="1:9" x14ac:dyDescent="0.3">
      <c r="A3" s="44" t="s">
        <v>121</v>
      </c>
      <c r="B3" s="84">
        <v>0</v>
      </c>
      <c r="C3" s="84"/>
      <c r="D3" s="44">
        <v>0</v>
      </c>
      <c r="E3" s="44"/>
      <c r="F3" s="44"/>
      <c r="G3" s="44"/>
      <c r="H3" s="44">
        <f t="shared" ref="H3:H9" si="0">B3-D3-F3</f>
        <v>0</v>
      </c>
    </row>
    <row r="4" spans="1:9" x14ac:dyDescent="0.3">
      <c r="A4" s="44" t="s">
        <v>122</v>
      </c>
      <c r="B4" s="84">
        <v>600000</v>
      </c>
      <c r="C4" s="84"/>
      <c r="D4" s="44">
        <f>270000+300000</f>
        <v>570000</v>
      </c>
      <c r="E4" s="44"/>
      <c r="F4" s="44"/>
      <c r="G4" s="44"/>
      <c r="H4" s="44">
        <f t="shared" si="0"/>
        <v>30000</v>
      </c>
    </row>
    <row r="5" spans="1:9" x14ac:dyDescent="0.3">
      <c r="A5" s="44" t="s">
        <v>123</v>
      </c>
      <c r="B5" s="84">
        <v>200000</v>
      </c>
      <c r="C5" s="84"/>
      <c r="D5" s="44">
        <v>140000</v>
      </c>
      <c r="E5" s="44"/>
      <c r="F5" s="44"/>
      <c r="G5" s="44"/>
      <c r="H5" s="44">
        <f t="shared" si="0"/>
        <v>60000</v>
      </c>
    </row>
    <row r="6" spans="1:9" x14ac:dyDescent="0.3">
      <c r="A6" s="44" t="s">
        <v>124</v>
      </c>
      <c r="B6" s="84">
        <v>300000</v>
      </c>
      <c r="C6" s="84"/>
      <c r="D6" s="44">
        <v>370000</v>
      </c>
      <c r="E6" s="44"/>
      <c r="F6" s="44">
        <f>B6-D6</f>
        <v>-70000</v>
      </c>
      <c r="G6" s="44"/>
      <c r="H6" s="44">
        <f t="shared" si="0"/>
        <v>0</v>
      </c>
    </row>
    <row r="7" spans="1:9" x14ac:dyDescent="0.3">
      <c r="A7" s="44" t="s">
        <v>125</v>
      </c>
      <c r="B7" s="84">
        <v>250000</v>
      </c>
      <c r="C7" s="84"/>
      <c r="D7" s="44">
        <v>350000</v>
      </c>
      <c r="E7" s="44"/>
      <c r="F7" s="44">
        <f t="shared" ref="F7:F9" si="1">B7-D7</f>
        <v>-100000</v>
      </c>
      <c r="G7" s="44"/>
      <c r="H7" s="44">
        <f t="shared" si="0"/>
        <v>0</v>
      </c>
    </row>
    <row r="8" spans="1:9" x14ac:dyDescent="0.3">
      <c r="A8" s="44" t="s">
        <v>13</v>
      </c>
      <c r="B8" s="84">
        <v>50000</v>
      </c>
      <c r="C8" s="84"/>
      <c r="D8" s="44">
        <v>60000</v>
      </c>
      <c r="E8" s="44"/>
      <c r="F8" s="44">
        <f t="shared" si="1"/>
        <v>-10000</v>
      </c>
      <c r="G8" s="44"/>
      <c r="H8" s="44">
        <f t="shared" si="0"/>
        <v>0</v>
      </c>
    </row>
    <row r="9" spans="1:9" x14ac:dyDescent="0.3">
      <c r="A9" s="44" t="s">
        <v>126</v>
      </c>
      <c r="B9" s="84">
        <v>200000</v>
      </c>
      <c r="C9" s="84"/>
      <c r="D9" s="44">
        <v>258000</v>
      </c>
      <c r="E9" s="44"/>
      <c r="F9" s="99">
        <f t="shared" si="1"/>
        <v>-58000</v>
      </c>
      <c r="G9" s="44"/>
      <c r="H9" s="44">
        <f t="shared" si="0"/>
        <v>0</v>
      </c>
    </row>
    <row r="10" spans="1:9" x14ac:dyDescent="0.3">
      <c r="A10" s="44" t="s">
        <v>50</v>
      </c>
      <c r="B10" s="88">
        <v>400000</v>
      </c>
      <c r="C10" s="93"/>
      <c r="D10" s="44"/>
      <c r="E10" s="44"/>
      <c r="F10" s="44">
        <f>SUM(F6:F9)</f>
        <v>-238000</v>
      </c>
      <c r="G10" s="44"/>
      <c r="H10" s="44">
        <f>B10+F10</f>
        <v>162000</v>
      </c>
    </row>
    <row r="11" spans="1:9" x14ac:dyDescent="0.3">
      <c r="A11" s="89" t="s">
        <v>20</v>
      </c>
      <c r="B11" s="90">
        <f>SUM(B2:B10)</f>
        <v>3000000</v>
      </c>
      <c r="C11" s="90"/>
      <c r="D11" s="96">
        <f>SUM(D2:D10)</f>
        <v>2730000</v>
      </c>
      <c r="E11" s="94"/>
      <c r="F11" s="94"/>
      <c r="G11" s="44"/>
      <c r="H11" s="95">
        <f>SUM(H2:H10)</f>
        <v>270000</v>
      </c>
    </row>
    <row r="14" spans="1:9" x14ac:dyDescent="0.3">
      <c r="D14" s="98"/>
      <c r="E14" s="98"/>
      <c r="F14" s="9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9AD7-8137-40FC-886A-E53843E18130}">
  <dimension ref="A1:S133"/>
  <sheetViews>
    <sheetView showGridLines="0" topLeftCell="C111" zoomScale="111" workbookViewId="0">
      <selection activeCell="K128" sqref="K125:K128"/>
    </sheetView>
  </sheetViews>
  <sheetFormatPr defaultColWidth="8.69921875" defaultRowHeight="12.9" x14ac:dyDescent="0.25"/>
  <cols>
    <col min="1" max="5" width="15.296875" style="1" customWidth="1"/>
    <col min="6" max="6" width="16.69921875" style="1" customWidth="1"/>
    <col min="7" max="12" width="15.296875" style="1" customWidth="1"/>
    <col min="13" max="13" width="1.5" style="1" customWidth="1"/>
    <col min="14" max="15" width="12.09765625" style="110" customWidth="1"/>
    <col min="16" max="16" width="9.5" style="1" bestFit="1" customWidth="1"/>
    <col min="17" max="18" width="8.69921875" style="1"/>
    <col min="19" max="19" width="13.59765625" style="1" bestFit="1" customWidth="1"/>
    <col min="20" max="16384" width="8.69921875" style="1"/>
  </cols>
  <sheetData>
    <row r="1" spans="1:12" x14ac:dyDescent="0.25">
      <c r="A1" s="159" t="s">
        <v>16</v>
      </c>
      <c r="B1" s="159"/>
      <c r="C1" s="159"/>
      <c r="D1" s="159"/>
      <c r="E1" s="159"/>
      <c r="F1" s="155" t="s">
        <v>0</v>
      </c>
      <c r="G1" s="155"/>
      <c r="H1" s="155"/>
      <c r="I1" s="155"/>
      <c r="J1" s="155"/>
      <c r="K1" s="160"/>
      <c r="L1" s="31" t="s">
        <v>23</v>
      </c>
    </row>
    <row r="2" spans="1:12" x14ac:dyDescent="0.25">
      <c r="A2" s="12" t="s">
        <v>140</v>
      </c>
      <c r="B2" s="12" t="s">
        <v>2</v>
      </c>
      <c r="C2" s="13">
        <v>1600000</v>
      </c>
      <c r="D2" s="14">
        <v>1</v>
      </c>
      <c r="E2" s="18">
        <f>C2*D2</f>
        <v>1600000</v>
      </c>
      <c r="F2" s="6" t="s">
        <v>3</v>
      </c>
      <c r="G2" s="6" t="s">
        <v>24</v>
      </c>
      <c r="H2" s="9" t="s">
        <v>4</v>
      </c>
      <c r="I2" s="10">
        <v>45000</v>
      </c>
      <c r="J2" s="11">
        <v>28</v>
      </c>
      <c r="K2" s="28">
        <f t="shared" ref="K2:K10" si="0">I2*J2</f>
        <v>1260000</v>
      </c>
      <c r="L2" s="7">
        <f>E2-K2</f>
        <v>340000</v>
      </c>
    </row>
    <row r="3" spans="1:12" x14ac:dyDescent="0.25">
      <c r="A3" s="15"/>
      <c r="B3" s="15"/>
      <c r="C3" s="15"/>
      <c r="D3" s="15"/>
      <c r="E3" s="19"/>
      <c r="F3" s="6" t="s">
        <v>5</v>
      </c>
      <c r="G3" s="6" t="s">
        <v>24</v>
      </c>
      <c r="H3" s="6" t="s">
        <v>6</v>
      </c>
      <c r="I3" s="7">
        <v>35000</v>
      </c>
      <c r="J3" s="8">
        <v>4</v>
      </c>
      <c r="K3" s="29">
        <f t="shared" si="0"/>
        <v>140000</v>
      </c>
      <c r="L3" s="7">
        <f>L2-K3</f>
        <v>200000</v>
      </c>
    </row>
    <row r="4" spans="1:12" x14ac:dyDescent="0.25">
      <c r="A4" s="15"/>
      <c r="B4" s="15"/>
      <c r="C4" s="15"/>
      <c r="D4" s="15"/>
      <c r="E4" s="19"/>
      <c r="F4" s="6" t="s">
        <v>8</v>
      </c>
      <c r="G4" s="6" t="s">
        <v>24</v>
      </c>
      <c r="H4" s="6" t="s">
        <v>6</v>
      </c>
      <c r="I4" s="7">
        <v>25000</v>
      </c>
      <c r="J4" s="8">
        <v>4</v>
      </c>
      <c r="K4" s="29">
        <f t="shared" si="0"/>
        <v>100000</v>
      </c>
      <c r="L4" s="7">
        <f t="shared" ref="L4:L5" si="1">L3-K4</f>
        <v>100000</v>
      </c>
    </row>
    <row r="5" spans="1:12" x14ac:dyDescent="0.25">
      <c r="A5" s="15"/>
      <c r="B5" s="15"/>
      <c r="C5" s="15"/>
      <c r="D5" s="15"/>
      <c r="E5" s="19"/>
      <c r="F5" s="6" t="s">
        <v>12</v>
      </c>
      <c r="G5" s="6" t="s">
        <v>25</v>
      </c>
      <c r="H5" s="6" t="s">
        <v>2</v>
      </c>
      <c r="I5" s="7">
        <v>100000</v>
      </c>
      <c r="J5" s="8">
        <v>1</v>
      </c>
      <c r="K5" s="29">
        <f t="shared" si="0"/>
        <v>100000</v>
      </c>
      <c r="L5" s="7">
        <f t="shared" si="1"/>
        <v>0</v>
      </c>
    </row>
    <row r="6" spans="1:12" x14ac:dyDescent="0.25">
      <c r="A6" s="12" t="s">
        <v>17</v>
      </c>
      <c r="B6" s="12" t="s">
        <v>2</v>
      </c>
      <c r="C6" s="13">
        <v>4500000</v>
      </c>
      <c r="D6" s="14">
        <v>1</v>
      </c>
      <c r="E6" s="18">
        <f>C6*D6</f>
        <v>4500000</v>
      </c>
      <c r="F6" s="6" t="s">
        <v>1</v>
      </c>
      <c r="G6" s="6" t="s">
        <v>24</v>
      </c>
      <c r="H6" s="6" t="s">
        <v>2</v>
      </c>
      <c r="I6" s="7">
        <v>1600000</v>
      </c>
      <c r="J6" s="8">
        <v>1</v>
      </c>
      <c r="K6" s="29">
        <f t="shared" si="0"/>
        <v>1600000</v>
      </c>
      <c r="L6" s="7">
        <f>E6-K6</f>
        <v>2900000</v>
      </c>
    </row>
    <row r="7" spans="1:12" x14ac:dyDescent="0.25">
      <c r="A7" s="15"/>
      <c r="B7" s="15"/>
      <c r="C7" s="15"/>
      <c r="D7" s="15"/>
      <c r="E7" s="19"/>
      <c r="F7" s="6" t="s">
        <v>10</v>
      </c>
      <c r="G7" s="6" t="s">
        <v>14</v>
      </c>
      <c r="H7" s="6" t="s">
        <v>2</v>
      </c>
      <c r="I7" s="7">
        <v>30000</v>
      </c>
      <c r="J7" s="8">
        <v>1</v>
      </c>
      <c r="K7" s="29">
        <f t="shared" si="0"/>
        <v>30000</v>
      </c>
      <c r="L7" s="7">
        <f>L6-K7</f>
        <v>2870000</v>
      </c>
    </row>
    <row r="8" spans="1:12" x14ac:dyDescent="0.25">
      <c r="A8" s="15"/>
      <c r="B8" s="15"/>
      <c r="C8" s="15"/>
      <c r="D8" s="15"/>
      <c r="E8" s="19"/>
      <c r="F8" s="6" t="s">
        <v>49</v>
      </c>
      <c r="G8" s="6" t="s">
        <v>14</v>
      </c>
      <c r="H8" s="6" t="s">
        <v>6</v>
      </c>
      <c r="I8" s="7">
        <v>75000</v>
      </c>
      <c r="J8" s="8">
        <v>4</v>
      </c>
      <c r="K8" s="29">
        <f t="shared" si="0"/>
        <v>300000</v>
      </c>
      <c r="L8" s="7">
        <f t="shared" ref="L8:L10" si="2">L7-K8</f>
        <v>2570000</v>
      </c>
    </row>
    <row r="9" spans="1:12" x14ac:dyDescent="0.25">
      <c r="A9" s="15"/>
      <c r="B9" s="15"/>
      <c r="C9" s="15"/>
      <c r="D9" s="15"/>
      <c r="E9" s="19"/>
      <c r="F9" s="12" t="s">
        <v>139</v>
      </c>
      <c r="G9" s="12" t="s">
        <v>25</v>
      </c>
      <c r="H9" s="12" t="s">
        <v>2</v>
      </c>
      <c r="I9" s="13">
        <v>200000</v>
      </c>
      <c r="J9" s="14">
        <v>1</v>
      </c>
      <c r="K9" s="29">
        <f t="shared" si="0"/>
        <v>200000</v>
      </c>
      <c r="L9" s="7">
        <f t="shared" si="2"/>
        <v>2370000</v>
      </c>
    </row>
    <row r="10" spans="1:12" x14ac:dyDescent="0.25">
      <c r="A10" s="15"/>
      <c r="B10" s="15"/>
      <c r="C10" s="15"/>
      <c r="D10" s="15"/>
      <c r="E10" s="19"/>
      <c r="F10" s="12" t="s">
        <v>15</v>
      </c>
      <c r="G10" s="12" t="s">
        <v>24</v>
      </c>
      <c r="H10" s="12" t="s">
        <v>2</v>
      </c>
      <c r="I10" s="13">
        <v>170000</v>
      </c>
      <c r="J10" s="14">
        <v>1</v>
      </c>
      <c r="K10" s="29">
        <f t="shared" si="0"/>
        <v>170000</v>
      </c>
      <c r="L10" s="7">
        <f t="shared" si="2"/>
        <v>2200000</v>
      </c>
    </row>
    <row r="11" spans="1:12" x14ac:dyDescent="0.25">
      <c r="A11" s="15"/>
      <c r="B11" s="15"/>
      <c r="C11" s="15"/>
      <c r="D11" s="15"/>
      <c r="E11" s="19"/>
      <c r="F11" s="156" t="s">
        <v>26</v>
      </c>
      <c r="G11" s="157"/>
      <c r="H11" s="157"/>
      <c r="I11" s="157"/>
      <c r="J11" s="158"/>
      <c r="K11" s="30">
        <f>SUM(K2:K10)</f>
        <v>3900000</v>
      </c>
      <c r="L11" s="6"/>
    </row>
    <row r="12" spans="1:12" x14ac:dyDescent="0.25">
      <c r="A12" s="15"/>
      <c r="B12" s="15"/>
      <c r="C12" s="15"/>
      <c r="D12" s="15"/>
      <c r="E12" s="9"/>
      <c r="F12" s="25" t="s">
        <v>19</v>
      </c>
      <c r="G12" s="26"/>
      <c r="H12" s="26"/>
      <c r="I12" s="26"/>
      <c r="J12" s="27"/>
      <c r="K12" s="29">
        <f>E13-K11</f>
        <v>2200000</v>
      </c>
      <c r="L12" s="7">
        <f>L10-K12</f>
        <v>0</v>
      </c>
    </row>
    <row r="13" spans="1:12" x14ac:dyDescent="0.25">
      <c r="A13" s="20" t="s">
        <v>20</v>
      </c>
      <c r="B13" s="21"/>
      <c r="C13" s="21"/>
      <c r="D13" s="22"/>
      <c r="E13" s="24">
        <f>SUM(E2:E12)</f>
        <v>6100000</v>
      </c>
      <c r="F13" s="20" t="s">
        <v>20</v>
      </c>
      <c r="G13" s="21"/>
      <c r="H13" s="21"/>
      <c r="I13" s="21"/>
      <c r="J13" s="23"/>
      <c r="K13" s="16">
        <f>SUM(K11+K12)</f>
        <v>6100000</v>
      </c>
      <c r="L13" s="17" t="b">
        <f>K13=E13</f>
        <v>1</v>
      </c>
    </row>
    <row r="15" spans="1:12" ht="13.45" x14ac:dyDescent="0.3">
      <c r="A15" s="147" t="s">
        <v>147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</row>
    <row r="16" spans="1:12" x14ac:dyDescent="0.25">
      <c r="A16" s="159" t="s">
        <v>16</v>
      </c>
      <c r="B16" s="159"/>
      <c r="C16" s="159"/>
      <c r="D16" s="159"/>
      <c r="E16" s="159"/>
      <c r="F16" s="155" t="s">
        <v>0</v>
      </c>
      <c r="G16" s="155"/>
      <c r="H16" s="155"/>
      <c r="I16" s="155"/>
      <c r="J16" s="155"/>
      <c r="K16" s="160"/>
      <c r="L16" s="101" t="s">
        <v>23</v>
      </c>
    </row>
    <row r="17" spans="1:13" x14ac:dyDescent="0.25">
      <c r="A17" s="6" t="s">
        <v>17</v>
      </c>
      <c r="B17" s="6" t="s">
        <v>2</v>
      </c>
      <c r="C17" s="7">
        <v>4500000</v>
      </c>
      <c r="D17" s="8">
        <v>1</v>
      </c>
      <c r="E17" s="7">
        <f>C17*D17</f>
        <v>4500000</v>
      </c>
      <c r="F17" s="6" t="s">
        <v>3</v>
      </c>
      <c r="G17" s="6" t="s">
        <v>24</v>
      </c>
      <c r="H17" s="9" t="s">
        <v>4</v>
      </c>
      <c r="I17" s="10">
        <v>45000</v>
      </c>
      <c r="J17" s="11">
        <v>25</v>
      </c>
      <c r="K17" s="28">
        <f t="shared" ref="K17:K25" si="3">I17*J17</f>
        <v>1125000</v>
      </c>
      <c r="L17" s="13"/>
    </row>
    <row r="18" spans="1:13" x14ac:dyDescent="0.25">
      <c r="A18" s="6" t="s">
        <v>142</v>
      </c>
      <c r="B18" s="6" t="s">
        <v>143</v>
      </c>
      <c r="C18" s="7">
        <v>4500000</v>
      </c>
      <c r="D18" s="8">
        <v>1</v>
      </c>
      <c r="E18" s="7">
        <f t="shared" ref="E18:E29" si="4">C18*D18</f>
        <v>4500000</v>
      </c>
      <c r="F18" s="6" t="s">
        <v>5</v>
      </c>
      <c r="G18" s="6" t="s">
        <v>24</v>
      </c>
      <c r="H18" s="6" t="s">
        <v>6</v>
      </c>
      <c r="I18" s="7">
        <v>50000</v>
      </c>
      <c r="J18" s="8">
        <v>4</v>
      </c>
      <c r="K18" s="29">
        <f t="shared" si="3"/>
        <v>200000</v>
      </c>
      <c r="L18" s="103"/>
    </row>
    <row r="19" spans="1:13" x14ac:dyDescent="0.25">
      <c r="A19" s="6"/>
      <c r="B19" s="6"/>
      <c r="C19" s="6"/>
      <c r="D19" s="6"/>
      <c r="E19" s="7">
        <f t="shared" si="4"/>
        <v>0</v>
      </c>
      <c r="F19" s="6" t="s">
        <v>8</v>
      </c>
      <c r="G19" s="6" t="s">
        <v>24</v>
      </c>
      <c r="H19" s="6" t="s">
        <v>6</v>
      </c>
      <c r="I19" s="7">
        <v>25000</v>
      </c>
      <c r="J19" s="8">
        <v>4</v>
      </c>
      <c r="K19" s="29">
        <f t="shared" si="3"/>
        <v>100000</v>
      </c>
      <c r="L19" s="103"/>
    </row>
    <row r="20" spans="1:13" x14ac:dyDescent="0.25">
      <c r="A20" s="6"/>
      <c r="B20" s="6"/>
      <c r="C20" s="7"/>
      <c r="D20" s="8"/>
      <c r="E20" s="7">
        <f t="shared" si="4"/>
        <v>0</v>
      </c>
      <c r="F20" s="6" t="s">
        <v>9</v>
      </c>
      <c r="G20" s="6" t="s">
        <v>24</v>
      </c>
      <c r="H20" s="6" t="s">
        <v>2</v>
      </c>
      <c r="I20" s="7">
        <v>70000</v>
      </c>
      <c r="J20" s="8">
        <v>1</v>
      </c>
      <c r="K20" s="29">
        <f t="shared" si="3"/>
        <v>70000</v>
      </c>
      <c r="L20" s="103"/>
    </row>
    <row r="21" spans="1:13" x14ac:dyDescent="0.25">
      <c r="A21" s="6"/>
      <c r="B21" s="6"/>
      <c r="C21" s="6"/>
      <c r="D21" s="6"/>
      <c r="E21" s="7">
        <f t="shared" si="4"/>
        <v>0</v>
      </c>
      <c r="F21" s="6" t="s">
        <v>12</v>
      </c>
      <c r="G21" s="6" t="s">
        <v>25</v>
      </c>
      <c r="H21" s="6" t="s">
        <v>2</v>
      </c>
      <c r="I21" s="7">
        <v>70000</v>
      </c>
      <c r="J21" s="8">
        <v>1</v>
      </c>
      <c r="K21" s="29">
        <f t="shared" si="3"/>
        <v>70000</v>
      </c>
      <c r="L21" s="103"/>
    </row>
    <row r="22" spans="1:13" x14ac:dyDescent="0.25">
      <c r="A22" s="6"/>
      <c r="B22" s="6"/>
      <c r="C22" s="6"/>
      <c r="D22" s="6"/>
      <c r="E22" s="7">
        <f t="shared" si="4"/>
        <v>0</v>
      </c>
      <c r="F22" s="6" t="s">
        <v>13</v>
      </c>
      <c r="G22" s="6" t="s">
        <v>25</v>
      </c>
      <c r="H22" s="6" t="s">
        <v>2</v>
      </c>
      <c r="I22" s="7">
        <v>50000</v>
      </c>
      <c r="J22" s="8">
        <v>1</v>
      </c>
      <c r="K22" s="29">
        <f t="shared" si="3"/>
        <v>50000</v>
      </c>
      <c r="L22" s="103"/>
    </row>
    <row r="23" spans="1:13" x14ac:dyDescent="0.25">
      <c r="A23" s="6"/>
      <c r="B23" s="6"/>
      <c r="C23" s="6"/>
      <c r="D23" s="6"/>
      <c r="E23" s="7">
        <f t="shared" si="4"/>
        <v>0</v>
      </c>
      <c r="F23" s="6" t="s">
        <v>1</v>
      </c>
      <c r="G23" s="6" t="s">
        <v>24</v>
      </c>
      <c r="H23" s="6" t="s">
        <v>2</v>
      </c>
      <c r="I23" s="7">
        <v>1600000</v>
      </c>
      <c r="J23" s="8">
        <v>1</v>
      </c>
      <c r="K23" s="106">
        <f t="shared" si="3"/>
        <v>1600000</v>
      </c>
      <c r="L23" s="103"/>
    </row>
    <row r="24" spans="1:13" x14ac:dyDescent="0.25">
      <c r="A24" s="6"/>
      <c r="B24" s="6"/>
      <c r="C24" s="6"/>
      <c r="D24" s="6"/>
      <c r="E24" s="7">
        <f t="shared" si="4"/>
        <v>0</v>
      </c>
      <c r="F24" s="6" t="s">
        <v>10</v>
      </c>
      <c r="G24" s="6" t="s">
        <v>14</v>
      </c>
      <c r="H24" s="6" t="s">
        <v>2</v>
      </c>
      <c r="I24" s="7">
        <v>30000</v>
      </c>
      <c r="J24" s="8">
        <v>1</v>
      </c>
      <c r="K24" s="29">
        <f t="shared" si="3"/>
        <v>30000</v>
      </c>
      <c r="L24" s="103"/>
    </row>
    <row r="25" spans="1:13" x14ac:dyDescent="0.25">
      <c r="A25" s="6"/>
      <c r="B25" s="6"/>
      <c r="C25" s="6"/>
      <c r="D25" s="6"/>
      <c r="E25" s="7">
        <f t="shared" si="4"/>
        <v>0</v>
      </c>
      <c r="F25" s="6" t="s">
        <v>49</v>
      </c>
      <c r="G25" s="6" t="s">
        <v>14</v>
      </c>
      <c r="H25" s="6" t="s">
        <v>6</v>
      </c>
      <c r="I25" s="7">
        <v>75000</v>
      </c>
      <c r="J25" s="8">
        <v>4</v>
      </c>
      <c r="K25" s="29">
        <f t="shared" si="3"/>
        <v>300000</v>
      </c>
      <c r="L25" s="103"/>
    </row>
    <row r="26" spans="1:13" x14ac:dyDescent="0.25">
      <c r="A26" s="6"/>
      <c r="B26" s="6"/>
      <c r="C26" s="6"/>
      <c r="D26" s="6"/>
      <c r="E26" s="7">
        <f t="shared" si="4"/>
        <v>0</v>
      </c>
      <c r="F26" s="156" t="s">
        <v>26</v>
      </c>
      <c r="G26" s="157"/>
      <c r="H26" s="157"/>
      <c r="I26" s="157"/>
      <c r="J26" s="158"/>
      <c r="K26" s="30">
        <f>SUM(K17:K25)</f>
        <v>3545000</v>
      </c>
      <c r="L26" s="10">
        <f>E30-K26</f>
        <v>5455000</v>
      </c>
    </row>
    <row r="27" spans="1:13" x14ac:dyDescent="0.25">
      <c r="A27" s="6"/>
      <c r="B27" s="6"/>
      <c r="C27" s="6"/>
      <c r="D27" s="6"/>
      <c r="E27" s="7">
        <f t="shared" si="4"/>
        <v>0</v>
      </c>
      <c r="F27" s="156" t="s">
        <v>145</v>
      </c>
      <c r="G27" s="157"/>
      <c r="H27" s="157"/>
      <c r="I27" s="157"/>
      <c r="J27" s="158"/>
      <c r="K27" s="105">
        <v>1200000</v>
      </c>
      <c r="L27" s="10">
        <f>L26-K27</f>
        <v>4255000</v>
      </c>
    </row>
    <row r="28" spans="1:13" x14ac:dyDescent="0.25">
      <c r="A28" s="6"/>
      <c r="B28" s="6"/>
      <c r="C28" s="6"/>
      <c r="D28" s="6"/>
      <c r="E28" s="7">
        <f t="shared" si="4"/>
        <v>0</v>
      </c>
      <c r="F28" s="156" t="s">
        <v>146</v>
      </c>
      <c r="G28" s="157"/>
      <c r="H28" s="157"/>
      <c r="I28" s="157"/>
      <c r="J28" s="158"/>
      <c r="K28" s="30">
        <v>485000</v>
      </c>
      <c r="L28" s="10">
        <f t="shared" ref="L28:L29" si="5">L27-K28</f>
        <v>3770000</v>
      </c>
    </row>
    <row r="29" spans="1:13" x14ac:dyDescent="0.25">
      <c r="A29" s="6"/>
      <c r="B29" s="6"/>
      <c r="C29" s="6"/>
      <c r="D29" s="6"/>
      <c r="E29" s="7">
        <f t="shared" si="4"/>
        <v>0</v>
      </c>
      <c r="F29" s="25" t="s">
        <v>19</v>
      </c>
      <c r="G29" s="26"/>
      <c r="H29" s="26"/>
      <c r="I29" s="26"/>
      <c r="J29" s="27"/>
      <c r="K29" s="29">
        <f>E30-(SUM(K26:K28))</f>
        <v>3770000</v>
      </c>
      <c r="L29" s="10">
        <f t="shared" si="5"/>
        <v>0</v>
      </c>
      <c r="M29" s="2"/>
    </row>
    <row r="30" spans="1:13" x14ac:dyDescent="0.25">
      <c r="A30" s="20" t="s">
        <v>20</v>
      </c>
      <c r="B30" s="21"/>
      <c r="C30" s="21"/>
      <c r="D30" s="22"/>
      <c r="E30" s="24">
        <f>SUM(E17:E29)</f>
        <v>9000000</v>
      </c>
      <c r="F30" s="20" t="s">
        <v>20</v>
      </c>
      <c r="G30" s="21"/>
      <c r="H30" s="21"/>
      <c r="I30" s="21"/>
      <c r="J30" s="23"/>
      <c r="K30" s="16">
        <f>SUM(K26:K29)</f>
        <v>9000000</v>
      </c>
      <c r="L30" s="17" t="b">
        <f>K30=E30</f>
        <v>1</v>
      </c>
    </row>
    <row r="32" spans="1:13" ht="13.45" x14ac:dyDescent="0.3">
      <c r="A32" s="147" t="s">
        <v>148</v>
      </c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</row>
    <row r="33" spans="1:16" x14ac:dyDescent="0.25">
      <c r="A33" s="159" t="s">
        <v>16</v>
      </c>
      <c r="B33" s="159"/>
      <c r="C33" s="159"/>
      <c r="D33" s="159"/>
      <c r="E33" s="159"/>
      <c r="F33" s="155" t="s">
        <v>0</v>
      </c>
      <c r="G33" s="155"/>
      <c r="H33" s="155"/>
      <c r="I33" s="155"/>
      <c r="J33" s="155"/>
      <c r="K33" s="160"/>
      <c r="L33" s="101" t="s">
        <v>23</v>
      </c>
    </row>
    <row r="34" spans="1:16" x14ac:dyDescent="0.25">
      <c r="A34" s="6" t="s">
        <v>17</v>
      </c>
      <c r="B34" s="6" t="s">
        <v>2</v>
      </c>
      <c r="C34" s="7">
        <v>3880000</v>
      </c>
      <c r="D34" s="8">
        <v>1</v>
      </c>
      <c r="E34" s="7">
        <f>C34*D34</f>
        <v>3880000</v>
      </c>
      <c r="F34" s="6" t="s">
        <v>3</v>
      </c>
      <c r="G34" s="6" t="s">
        <v>24</v>
      </c>
      <c r="H34" s="9" t="s">
        <v>4</v>
      </c>
      <c r="I34" s="10">
        <v>50000</v>
      </c>
      <c r="J34" s="11">
        <v>30</v>
      </c>
      <c r="K34" s="28">
        <f t="shared" ref="K34:K43" si="6">I34*J34</f>
        <v>1500000</v>
      </c>
      <c r="L34" s="13"/>
      <c r="P34" s="2"/>
    </row>
    <row r="35" spans="1:16" x14ac:dyDescent="0.25">
      <c r="A35" s="6" t="s">
        <v>144</v>
      </c>
      <c r="B35" s="6" t="s">
        <v>143</v>
      </c>
      <c r="C35" s="7">
        <v>2000000</v>
      </c>
      <c r="D35" s="8">
        <v>1</v>
      </c>
      <c r="E35" s="7">
        <f t="shared" ref="E35:E45" si="7">C35*D35</f>
        <v>2000000</v>
      </c>
      <c r="F35" s="6" t="s">
        <v>5</v>
      </c>
      <c r="G35" s="6" t="s">
        <v>24</v>
      </c>
      <c r="H35" s="6" t="s">
        <v>6</v>
      </c>
      <c r="I35" s="7">
        <v>35000</v>
      </c>
      <c r="J35" s="8">
        <v>4</v>
      </c>
      <c r="K35" s="29">
        <f t="shared" si="6"/>
        <v>140000</v>
      </c>
      <c r="L35" s="103"/>
      <c r="P35" s="2"/>
    </row>
    <row r="36" spans="1:16" x14ac:dyDescent="0.25">
      <c r="A36" s="6" t="s">
        <v>153</v>
      </c>
      <c r="B36" s="6" t="s">
        <v>143</v>
      </c>
      <c r="C36" s="7">
        <v>150000</v>
      </c>
      <c r="D36" s="8">
        <v>1</v>
      </c>
      <c r="E36" s="7">
        <f t="shared" ref="E36" si="8">C36*D36</f>
        <v>150000</v>
      </c>
      <c r="F36" s="6" t="s">
        <v>152</v>
      </c>
      <c r="G36" s="6" t="s">
        <v>24</v>
      </c>
      <c r="H36" s="6" t="s">
        <v>6</v>
      </c>
      <c r="I36" s="7">
        <v>22500</v>
      </c>
      <c r="J36" s="8">
        <v>4</v>
      </c>
      <c r="K36" s="29">
        <f t="shared" si="6"/>
        <v>90000</v>
      </c>
      <c r="L36" s="103"/>
      <c r="P36" s="2"/>
    </row>
    <row r="37" spans="1:16" x14ac:dyDescent="0.25">
      <c r="A37" s="6"/>
      <c r="B37" s="6"/>
      <c r="C37" s="7"/>
      <c r="D37" s="8"/>
      <c r="E37" s="7">
        <f t="shared" si="7"/>
        <v>0</v>
      </c>
      <c r="F37" s="6" t="s">
        <v>9</v>
      </c>
      <c r="G37" s="6" t="s">
        <v>24</v>
      </c>
      <c r="H37" s="6" t="s">
        <v>2</v>
      </c>
      <c r="I37" s="7">
        <v>100000</v>
      </c>
      <c r="J37" s="8">
        <v>1</v>
      </c>
      <c r="K37" s="29">
        <f t="shared" si="6"/>
        <v>100000</v>
      </c>
      <c r="L37" s="103"/>
      <c r="P37" s="2"/>
    </row>
    <row r="38" spans="1:16" x14ac:dyDescent="0.25">
      <c r="A38" s="6"/>
      <c r="B38" s="6"/>
      <c r="C38" s="6"/>
      <c r="D38" s="6"/>
      <c r="E38" s="7">
        <f t="shared" si="7"/>
        <v>0</v>
      </c>
      <c r="F38" s="6" t="s">
        <v>12</v>
      </c>
      <c r="G38" s="6" t="s">
        <v>25</v>
      </c>
      <c r="H38" s="6" t="s">
        <v>2</v>
      </c>
      <c r="I38" s="7">
        <v>75000</v>
      </c>
      <c r="J38" s="8">
        <v>1</v>
      </c>
      <c r="K38" s="29">
        <f t="shared" si="6"/>
        <v>75000</v>
      </c>
      <c r="L38" s="103"/>
      <c r="P38" s="2"/>
    </row>
    <row r="39" spans="1:16" x14ac:dyDescent="0.25">
      <c r="A39" s="6"/>
      <c r="B39" s="6"/>
      <c r="C39" s="6"/>
      <c r="D39" s="6"/>
      <c r="E39" s="7">
        <f t="shared" si="7"/>
        <v>0</v>
      </c>
      <c r="F39" s="6" t="s">
        <v>13</v>
      </c>
      <c r="G39" s="6" t="s">
        <v>25</v>
      </c>
      <c r="H39" s="6" t="s">
        <v>2</v>
      </c>
      <c r="I39" s="7">
        <v>60000</v>
      </c>
      <c r="J39" s="8">
        <v>1</v>
      </c>
      <c r="K39" s="29">
        <f t="shared" si="6"/>
        <v>60000</v>
      </c>
      <c r="L39" s="103"/>
      <c r="P39" s="2"/>
    </row>
    <row r="40" spans="1:16" x14ac:dyDescent="0.25">
      <c r="A40" s="6"/>
      <c r="B40" s="6"/>
      <c r="C40" s="6"/>
      <c r="D40" s="6"/>
      <c r="E40" s="7">
        <f t="shared" si="7"/>
        <v>0</v>
      </c>
      <c r="F40" s="6" t="s">
        <v>1</v>
      </c>
      <c r="G40" s="6" t="s">
        <v>24</v>
      </c>
      <c r="H40" s="6" t="s">
        <v>2</v>
      </c>
      <c r="I40" s="7">
        <v>1600000</v>
      </c>
      <c r="J40" s="8">
        <v>1</v>
      </c>
      <c r="K40" s="29">
        <f t="shared" si="6"/>
        <v>1600000</v>
      </c>
      <c r="L40" s="103"/>
      <c r="P40" s="2"/>
    </row>
    <row r="41" spans="1:16" x14ac:dyDescent="0.25">
      <c r="A41" s="6"/>
      <c r="B41" s="6"/>
      <c r="C41" s="6"/>
      <c r="D41" s="6"/>
      <c r="E41" s="7">
        <f t="shared" si="7"/>
        <v>0</v>
      </c>
      <c r="F41" s="6" t="s">
        <v>10</v>
      </c>
      <c r="G41" s="6" t="s">
        <v>14</v>
      </c>
      <c r="H41" s="6" t="s">
        <v>2</v>
      </c>
      <c r="I41" s="7">
        <v>35000</v>
      </c>
      <c r="J41" s="8">
        <v>1</v>
      </c>
      <c r="K41" s="29">
        <f t="shared" si="6"/>
        <v>35000</v>
      </c>
      <c r="L41" s="103"/>
      <c r="P41" s="2"/>
    </row>
    <row r="42" spans="1:16" x14ac:dyDescent="0.25">
      <c r="A42" s="6"/>
      <c r="B42" s="6"/>
      <c r="C42" s="6"/>
      <c r="D42" s="6"/>
      <c r="E42" s="7">
        <f t="shared" si="7"/>
        <v>0</v>
      </c>
      <c r="F42" s="6" t="s">
        <v>49</v>
      </c>
      <c r="G42" s="6" t="s">
        <v>14</v>
      </c>
      <c r="H42" s="6" t="s">
        <v>6</v>
      </c>
      <c r="I42" s="7">
        <v>70000</v>
      </c>
      <c r="J42" s="8">
        <v>4</v>
      </c>
      <c r="K42" s="29">
        <f t="shared" si="6"/>
        <v>280000</v>
      </c>
      <c r="L42" s="103"/>
      <c r="P42" s="2"/>
    </row>
    <row r="43" spans="1:16" x14ac:dyDescent="0.25">
      <c r="A43" s="6"/>
      <c r="B43" s="6"/>
      <c r="C43" s="6"/>
      <c r="D43" s="6"/>
      <c r="E43" s="7">
        <f t="shared" si="7"/>
        <v>0</v>
      </c>
      <c r="F43" s="12" t="s">
        <v>15</v>
      </c>
      <c r="G43" s="12" t="s">
        <v>24</v>
      </c>
      <c r="H43" s="12" t="s">
        <v>2</v>
      </c>
      <c r="I43" s="13">
        <v>90000</v>
      </c>
      <c r="J43" s="14">
        <v>1</v>
      </c>
      <c r="K43" s="29">
        <f t="shared" si="6"/>
        <v>90000</v>
      </c>
      <c r="L43" s="103"/>
      <c r="P43" s="2"/>
    </row>
    <row r="44" spans="1:16" x14ac:dyDescent="0.25">
      <c r="A44" s="6"/>
      <c r="B44" s="6"/>
      <c r="C44" s="6"/>
      <c r="D44" s="6"/>
      <c r="E44" s="7">
        <f t="shared" si="7"/>
        <v>0</v>
      </c>
      <c r="F44" s="156" t="s">
        <v>26</v>
      </c>
      <c r="G44" s="157"/>
      <c r="H44" s="157"/>
      <c r="I44" s="157"/>
      <c r="J44" s="158"/>
      <c r="K44" s="30">
        <f>SUM(K34:K43)</f>
        <v>3970000</v>
      </c>
      <c r="L44" s="10">
        <f>E46-K44</f>
        <v>2060000</v>
      </c>
      <c r="P44" s="2"/>
    </row>
    <row r="45" spans="1:16" x14ac:dyDescent="0.25">
      <c r="A45" s="6"/>
      <c r="B45" s="6"/>
      <c r="C45" s="6"/>
      <c r="D45" s="6"/>
      <c r="E45" s="7">
        <f t="shared" si="7"/>
        <v>0</v>
      </c>
      <c r="F45" s="25" t="s">
        <v>19</v>
      </c>
      <c r="G45" s="26"/>
      <c r="H45" s="26"/>
      <c r="I45" s="26"/>
      <c r="J45" s="27"/>
      <c r="K45" s="29">
        <f>E46-(SUM(K44:K44))</f>
        <v>2060000</v>
      </c>
      <c r="L45" s="10">
        <f>L44-K45</f>
        <v>0</v>
      </c>
      <c r="P45" s="2"/>
    </row>
    <row r="46" spans="1:16" x14ac:dyDescent="0.25">
      <c r="A46" s="20" t="s">
        <v>20</v>
      </c>
      <c r="B46" s="21"/>
      <c r="C46" s="21"/>
      <c r="D46" s="22"/>
      <c r="E46" s="24">
        <f>SUM(E34:E45)</f>
        <v>6030000</v>
      </c>
      <c r="F46" s="20" t="s">
        <v>20</v>
      </c>
      <c r="G46" s="21"/>
      <c r="H46" s="21"/>
      <c r="I46" s="21"/>
      <c r="J46" s="23"/>
      <c r="K46" s="16">
        <f>SUM(K44:K45)</f>
        <v>6030000</v>
      </c>
      <c r="L46" s="17" t="b">
        <f>K46=E46</f>
        <v>1</v>
      </c>
    </row>
    <row r="48" spans="1:16" ht="13.45" x14ac:dyDescent="0.3">
      <c r="A48" s="147" t="s">
        <v>149</v>
      </c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</row>
    <row r="49" spans="1:19" x14ac:dyDescent="0.25">
      <c r="A49" s="159" t="s">
        <v>16</v>
      </c>
      <c r="B49" s="159"/>
      <c r="C49" s="159"/>
      <c r="D49" s="159"/>
      <c r="E49" s="159"/>
      <c r="F49" s="155" t="s">
        <v>0</v>
      </c>
      <c r="G49" s="155"/>
      <c r="H49" s="155"/>
      <c r="I49" s="155"/>
      <c r="J49" s="155"/>
      <c r="K49" s="160"/>
      <c r="L49" s="101" t="s">
        <v>23</v>
      </c>
      <c r="N49" s="111" t="s">
        <v>161</v>
      </c>
      <c r="O49" s="111" t="s">
        <v>23</v>
      </c>
    </row>
    <row r="50" spans="1:19" x14ac:dyDescent="0.25">
      <c r="A50" s="6" t="s">
        <v>17</v>
      </c>
      <c r="B50" s="6" t="s">
        <v>2</v>
      </c>
      <c r="C50" s="7">
        <v>9600000</v>
      </c>
      <c r="D50" s="8">
        <v>1</v>
      </c>
      <c r="E50" s="7">
        <f>C50*D50</f>
        <v>9600000</v>
      </c>
      <c r="F50" s="6" t="s">
        <v>3</v>
      </c>
      <c r="G50" s="6" t="s">
        <v>24</v>
      </c>
      <c r="H50" s="9" t="s">
        <v>4</v>
      </c>
      <c r="I50" s="10">
        <v>50000</v>
      </c>
      <c r="J50" s="11">
        <v>30</v>
      </c>
      <c r="K50" s="28">
        <f t="shared" ref="K50:K59" si="9">I50*J50</f>
        <v>1500000</v>
      </c>
      <c r="L50" s="13"/>
      <c r="O50" s="110">
        <f>K50-N50</f>
        <v>1500000</v>
      </c>
    </row>
    <row r="51" spans="1:19" x14ac:dyDescent="0.25">
      <c r="A51" s="6"/>
      <c r="B51" s="6"/>
      <c r="C51" s="7"/>
      <c r="D51" s="8"/>
      <c r="E51" s="7">
        <f t="shared" ref="E51:E66" si="10">C51*D51</f>
        <v>0</v>
      </c>
      <c r="F51" s="6" t="s">
        <v>5</v>
      </c>
      <c r="G51" s="6" t="s">
        <v>24</v>
      </c>
      <c r="H51" s="6" t="s">
        <v>6</v>
      </c>
      <c r="I51" s="7">
        <v>35000</v>
      </c>
      <c r="J51" s="8">
        <v>4</v>
      </c>
      <c r="K51" s="29">
        <f t="shared" si="9"/>
        <v>140000</v>
      </c>
      <c r="L51" s="103"/>
      <c r="O51" s="110">
        <f t="shared" ref="O51:O59" si="11">K51-N51</f>
        <v>140000</v>
      </c>
    </row>
    <row r="52" spans="1:19" x14ac:dyDescent="0.25">
      <c r="A52" s="6"/>
      <c r="B52" s="6"/>
      <c r="C52" s="6"/>
      <c r="D52" s="6"/>
      <c r="E52" s="7">
        <f t="shared" si="10"/>
        <v>0</v>
      </c>
      <c r="F52" s="6" t="s">
        <v>152</v>
      </c>
      <c r="G52" s="6" t="s">
        <v>24</v>
      </c>
      <c r="H52" s="6" t="s">
        <v>6</v>
      </c>
      <c r="I52" s="7">
        <v>22500</v>
      </c>
      <c r="J52" s="8">
        <v>4</v>
      </c>
      <c r="K52" s="29">
        <f t="shared" si="9"/>
        <v>90000</v>
      </c>
      <c r="L52" s="103"/>
      <c r="O52" s="110">
        <f t="shared" si="11"/>
        <v>90000</v>
      </c>
    </row>
    <row r="53" spans="1:19" x14ac:dyDescent="0.25">
      <c r="A53" s="6"/>
      <c r="B53" s="6"/>
      <c r="C53" s="7"/>
      <c r="D53" s="8"/>
      <c r="E53" s="7">
        <f t="shared" si="10"/>
        <v>0</v>
      </c>
      <c r="F53" s="6" t="s">
        <v>9</v>
      </c>
      <c r="G53" s="6" t="s">
        <v>24</v>
      </c>
      <c r="H53" s="6" t="s">
        <v>2</v>
      </c>
      <c r="I53" s="7">
        <v>75000</v>
      </c>
      <c r="J53" s="8">
        <v>1</v>
      </c>
      <c r="K53" s="29">
        <f t="shared" si="9"/>
        <v>75000</v>
      </c>
      <c r="L53" s="103"/>
      <c r="O53" s="110">
        <f t="shared" si="11"/>
        <v>75000</v>
      </c>
    </row>
    <row r="54" spans="1:19" x14ac:dyDescent="0.25">
      <c r="A54" s="6"/>
      <c r="B54" s="6"/>
      <c r="C54" s="6"/>
      <c r="D54" s="6"/>
      <c r="E54" s="7">
        <f t="shared" si="10"/>
        <v>0</v>
      </c>
      <c r="F54" s="6" t="s">
        <v>12</v>
      </c>
      <c r="G54" s="6" t="s">
        <v>25</v>
      </c>
      <c r="H54" s="6" t="s">
        <v>2</v>
      </c>
      <c r="I54" s="7">
        <v>150000</v>
      </c>
      <c r="J54" s="8">
        <v>1</v>
      </c>
      <c r="K54" s="29">
        <f t="shared" si="9"/>
        <v>150000</v>
      </c>
      <c r="L54" s="103"/>
      <c r="N54" s="110">
        <v>110000</v>
      </c>
      <c r="O54" s="110">
        <f t="shared" si="11"/>
        <v>40000</v>
      </c>
    </row>
    <row r="55" spans="1:19" x14ac:dyDescent="0.25">
      <c r="A55" s="6"/>
      <c r="B55" s="6"/>
      <c r="C55" s="6"/>
      <c r="D55" s="6"/>
      <c r="E55" s="7">
        <f t="shared" si="10"/>
        <v>0</v>
      </c>
      <c r="F55" s="6" t="s">
        <v>13</v>
      </c>
      <c r="G55" s="6" t="s">
        <v>25</v>
      </c>
      <c r="H55" s="6" t="s">
        <v>2</v>
      </c>
      <c r="I55" s="7">
        <v>60000</v>
      </c>
      <c r="J55" s="8">
        <v>1</v>
      </c>
      <c r="K55" s="29">
        <f t="shared" si="9"/>
        <v>60000</v>
      </c>
      <c r="L55" s="103"/>
      <c r="O55" s="110">
        <f t="shared" si="11"/>
        <v>60000</v>
      </c>
    </row>
    <row r="56" spans="1:19" x14ac:dyDescent="0.25">
      <c r="A56" s="6"/>
      <c r="B56" s="6"/>
      <c r="C56" s="6"/>
      <c r="D56" s="6"/>
      <c r="E56" s="7">
        <f t="shared" si="10"/>
        <v>0</v>
      </c>
      <c r="F56" s="6" t="s">
        <v>1</v>
      </c>
      <c r="G56" s="6" t="s">
        <v>24</v>
      </c>
      <c r="H56" s="6" t="s">
        <v>2</v>
      </c>
      <c r="I56" s="7">
        <v>1600000</v>
      </c>
      <c r="J56" s="8">
        <v>1</v>
      </c>
      <c r="K56" s="29">
        <f t="shared" si="9"/>
        <v>1600000</v>
      </c>
      <c r="L56" s="103"/>
      <c r="N56" s="110">
        <v>1600000</v>
      </c>
      <c r="O56" s="110">
        <f t="shared" si="11"/>
        <v>0</v>
      </c>
    </row>
    <row r="57" spans="1:19" x14ac:dyDescent="0.25">
      <c r="A57" s="6"/>
      <c r="B57" s="6"/>
      <c r="C57" s="6"/>
      <c r="D57" s="6"/>
      <c r="E57" s="7">
        <f t="shared" si="10"/>
        <v>0</v>
      </c>
      <c r="F57" s="6" t="s">
        <v>10</v>
      </c>
      <c r="G57" s="6" t="s">
        <v>14</v>
      </c>
      <c r="H57" s="6" t="s">
        <v>2</v>
      </c>
      <c r="I57" s="7">
        <v>0</v>
      </c>
      <c r="J57" s="8">
        <v>1</v>
      </c>
      <c r="K57" s="29">
        <f t="shared" si="9"/>
        <v>0</v>
      </c>
      <c r="L57" s="103"/>
      <c r="O57" s="110">
        <f t="shared" si="11"/>
        <v>0</v>
      </c>
    </row>
    <row r="58" spans="1:19" x14ac:dyDescent="0.25">
      <c r="A58" s="6"/>
      <c r="B58" s="6"/>
      <c r="C58" s="6"/>
      <c r="D58" s="6"/>
      <c r="E58" s="7">
        <f t="shared" si="10"/>
        <v>0</v>
      </c>
      <c r="F58" s="6" t="s">
        <v>49</v>
      </c>
      <c r="G58" s="6" t="s">
        <v>14</v>
      </c>
      <c r="H58" s="6" t="s">
        <v>6</v>
      </c>
      <c r="I58" s="7">
        <v>75000</v>
      </c>
      <c r="J58" s="8">
        <v>4</v>
      </c>
      <c r="K58" s="29">
        <f t="shared" si="9"/>
        <v>300000</v>
      </c>
      <c r="L58" s="103"/>
      <c r="O58" s="110">
        <f t="shared" si="11"/>
        <v>300000</v>
      </c>
    </row>
    <row r="59" spans="1:19" x14ac:dyDescent="0.25">
      <c r="A59" s="6"/>
      <c r="B59" s="6"/>
      <c r="C59" s="6"/>
      <c r="D59" s="6"/>
      <c r="E59" s="7">
        <f t="shared" si="10"/>
        <v>0</v>
      </c>
      <c r="F59" s="12" t="s">
        <v>15</v>
      </c>
      <c r="G59" s="12" t="s">
        <v>24</v>
      </c>
      <c r="H59" s="12" t="s">
        <v>2</v>
      </c>
      <c r="I59" s="13">
        <v>285000</v>
      </c>
      <c r="J59" s="14">
        <v>1</v>
      </c>
      <c r="K59" s="29">
        <f t="shared" si="9"/>
        <v>285000</v>
      </c>
      <c r="L59" s="103"/>
      <c r="O59" s="110">
        <f t="shared" si="11"/>
        <v>285000</v>
      </c>
    </row>
    <row r="60" spans="1:19" x14ac:dyDescent="0.25">
      <c r="A60" s="6"/>
      <c r="B60" s="6"/>
      <c r="C60" s="6"/>
      <c r="D60" s="6"/>
      <c r="E60" s="7">
        <f t="shared" si="10"/>
        <v>0</v>
      </c>
      <c r="F60" s="156" t="s">
        <v>26</v>
      </c>
      <c r="G60" s="157"/>
      <c r="H60" s="157"/>
      <c r="I60" s="157"/>
      <c r="J60" s="158"/>
      <c r="K60" s="30">
        <f>SUM(K50:K59)</f>
        <v>4200000</v>
      </c>
      <c r="L60" s="10">
        <f>E67-K60</f>
        <v>5400000</v>
      </c>
      <c r="N60" s="112">
        <f>SUM(N50:N59)</f>
        <v>1710000</v>
      </c>
      <c r="O60" s="112">
        <f>SUM(O50:O59)</f>
        <v>2490000</v>
      </c>
      <c r="S60" s="109"/>
    </row>
    <row r="61" spans="1:19" x14ac:dyDescent="0.25">
      <c r="A61" s="6"/>
      <c r="B61" s="6"/>
      <c r="C61" s="6"/>
      <c r="D61" s="6"/>
      <c r="E61" s="7">
        <v>0</v>
      </c>
      <c r="F61" s="25" t="s">
        <v>151</v>
      </c>
      <c r="G61" s="26"/>
      <c r="H61" s="26"/>
      <c r="I61" s="26"/>
      <c r="J61" s="27"/>
      <c r="K61" s="30">
        <v>1000000</v>
      </c>
      <c r="L61" s="10">
        <f>L60-K61</f>
        <v>4400000</v>
      </c>
      <c r="N61" s="110">
        <v>1000000</v>
      </c>
      <c r="O61" s="110">
        <f>K61-N61</f>
        <v>0</v>
      </c>
    </row>
    <row r="62" spans="1:19" x14ac:dyDescent="0.25">
      <c r="A62" s="6"/>
      <c r="B62" s="6"/>
      <c r="C62" s="6"/>
      <c r="D62" s="6"/>
      <c r="E62" s="7">
        <v>0</v>
      </c>
      <c r="F62" s="25" t="s">
        <v>157</v>
      </c>
      <c r="G62" s="26"/>
      <c r="H62" s="26"/>
      <c r="I62" s="26"/>
      <c r="J62" s="27"/>
      <c r="K62" s="30">
        <v>100000</v>
      </c>
      <c r="L62" s="10">
        <f t="shared" ref="L62:L66" si="12">L61-K62</f>
        <v>4300000</v>
      </c>
      <c r="N62" s="110">
        <v>100000</v>
      </c>
      <c r="O62" s="110">
        <f t="shared" ref="O62:O66" si="13">K62-N62</f>
        <v>0</v>
      </c>
    </row>
    <row r="63" spans="1:19" x14ac:dyDescent="0.25">
      <c r="A63" s="6"/>
      <c r="B63" s="6"/>
      <c r="C63" s="6"/>
      <c r="D63" s="6"/>
      <c r="E63" s="7">
        <v>0</v>
      </c>
      <c r="F63" s="25" t="s">
        <v>155</v>
      </c>
      <c r="G63" s="26"/>
      <c r="H63" s="26"/>
      <c r="I63" s="26"/>
      <c r="J63" s="27"/>
      <c r="K63" s="30">
        <v>250000</v>
      </c>
      <c r="L63" s="10">
        <f t="shared" si="12"/>
        <v>4050000</v>
      </c>
      <c r="N63" s="110">
        <v>250000</v>
      </c>
      <c r="O63" s="110">
        <f t="shared" si="13"/>
        <v>0</v>
      </c>
    </row>
    <row r="64" spans="1:19" x14ac:dyDescent="0.25">
      <c r="A64" s="6"/>
      <c r="B64" s="6"/>
      <c r="C64" s="6"/>
      <c r="D64" s="6"/>
      <c r="E64" s="7">
        <v>0</v>
      </c>
      <c r="F64" s="25" t="s">
        <v>156</v>
      </c>
      <c r="G64" s="26"/>
      <c r="H64" s="26"/>
      <c r="I64" s="26"/>
      <c r="J64" s="27"/>
      <c r="K64" s="30">
        <v>50000</v>
      </c>
      <c r="L64" s="10">
        <f t="shared" si="12"/>
        <v>4000000</v>
      </c>
      <c r="N64" s="110">
        <v>50000</v>
      </c>
      <c r="O64" s="110">
        <f t="shared" si="13"/>
        <v>0</v>
      </c>
    </row>
    <row r="65" spans="1:15" x14ac:dyDescent="0.25">
      <c r="A65" s="6"/>
      <c r="B65" s="6"/>
      <c r="C65" s="6"/>
      <c r="D65" s="6"/>
      <c r="E65" s="7">
        <v>0</v>
      </c>
      <c r="F65" s="25" t="s">
        <v>162</v>
      </c>
      <c r="G65" s="26"/>
      <c r="H65" s="26"/>
      <c r="I65" s="26"/>
      <c r="J65" s="27"/>
      <c r="K65" s="30">
        <v>400000</v>
      </c>
      <c r="L65" s="10">
        <f t="shared" si="12"/>
        <v>3600000</v>
      </c>
      <c r="N65" s="110">
        <v>400000</v>
      </c>
      <c r="O65" s="110">
        <f t="shared" si="13"/>
        <v>0</v>
      </c>
    </row>
    <row r="66" spans="1:15" x14ac:dyDescent="0.25">
      <c r="A66" s="6"/>
      <c r="B66" s="6"/>
      <c r="C66" s="6"/>
      <c r="D66" s="6"/>
      <c r="E66" s="7">
        <f t="shared" si="10"/>
        <v>0</v>
      </c>
      <c r="F66" s="25" t="s">
        <v>19</v>
      </c>
      <c r="G66" s="26"/>
      <c r="H66" s="26"/>
      <c r="I66" s="26"/>
      <c r="J66" s="27"/>
      <c r="K66" s="29">
        <f>L65</f>
        <v>3600000</v>
      </c>
      <c r="L66" s="10">
        <f t="shared" si="12"/>
        <v>0</v>
      </c>
      <c r="N66" s="110">
        <v>3600000</v>
      </c>
      <c r="O66" s="110">
        <f t="shared" si="13"/>
        <v>0</v>
      </c>
    </row>
    <row r="67" spans="1:15" x14ac:dyDescent="0.25">
      <c r="A67" s="20" t="s">
        <v>20</v>
      </c>
      <c r="B67" s="21"/>
      <c r="C67" s="21"/>
      <c r="D67" s="22"/>
      <c r="E67" s="24">
        <f>SUM(E50:E66)</f>
        <v>9600000</v>
      </c>
      <c r="F67" s="20" t="s">
        <v>20</v>
      </c>
      <c r="G67" s="21"/>
      <c r="H67" s="21"/>
      <c r="I67" s="21"/>
      <c r="J67" s="23"/>
      <c r="K67" s="16">
        <f>SUM(K60:K66)</f>
        <v>9600000</v>
      </c>
      <c r="L67" s="17" t="b">
        <f>K67=E67</f>
        <v>1</v>
      </c>
      <c r="N67" s="113">
        <f>SUM(N60:N66)</f>
        <v>7110000</v>
      </c>
      <c r="O67" s="113">
        <f>SUM(O60:O66)</f>
        <v>2490000</v>
      </c>
    </row>
    <row r="69" spans="1:15" ht="13.45" x14ac:dyDescent="0.3">
      <c r="A69" s="147" t="s">
        <v>154</v>
      </c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</row>
    <row r="70" spans="1:15" x14ac:dyDescent="0.25">
      <c r="A70" s="159" t="s">
        <v>16</v>
      </c>
      <c r="B70" s="159"/>
      <c r="C70" s="159"/>
      <c r="D70" s="159"/>
      <c r="E70" s="159"/>
      <c r="F70" s="155" t="s">
        <v>0</v>
      </c>
      <c r="G70" s="155"/>
      <c r="H70" s="155"/>
      <c r="I70" s="155"/>
      <c r="J70" s="155"/>
      <c r="K70" s="160"/>
      <c r="L70" s="101" t="s">
        <v>23</v>
      </c>
      <c r="N70" s="111" t="s">
        <v>161</v>
      </c>
      <c r="O70" s="111" t="s">
        <v>23</v>
      </c>
    </row>
    <row r="71" spans="1:15" x14ac:dyDescent="0.25">
      <c r="A71" s="6" t="s">
        <v>17</v>
      </c>
      <c r="B71" s="6" t="s">
        <v>2</v>
      </c>
      <c r="C71" s="7">
        <v>8500000</v>
      </c>
      <c r="D71" s="8">
        <v>1</v>
      </c>
      <c r="E71" s="7">
        <f>C71*D71</f>
        <v>8500000</v>
      </c>
      <c r="F71" s="6" t="s">
        <v>3</v>
      </c>
      <c r="G71" s="6" t="s">
        <v>24</v>
      </c>
      <c r="H71" s="9" t="s">
        <v>4</v>
      </c>
      <c r="I71" s="10">
        <v>50000</v>
      </c>
      <c r="J71" s="11">
        <v>30</v>
      </c>
      <c r="K71" s="28">
        <f t="shared" ref="K71:K80" si="14">I71*J71</f>
        <v>1500000</v>
      </c>
      <c r="L71" s="13"/>
      <c r="N71" s="110">
        <f>I71*17</f>
        <v>850000</v>
      </c>
      <c r="O71" s="110">
        <f>K71-N71</f>
        <v>650000</v>
      </c>
    </row>
    <row r="72" spans="1:15" x14ac:dyDescent="0.25">
      <c r="A72" s="6"/>
      <c r="B72" s="6"/>
      <c r="C72" s="7"/>
      <c r="D72" s="8"/>
      <c r="E72" s="7">
        <f t="shared" ref="E72:E81" si="15">C72*D72</f>
        <v>0</v>
      </c>
      <c r="F72" s="6" t="s">
        <v>5</v>
      </c>
      <c r="G72" s="6" t="s">
        <v>24</v>
      </c>
      <c r="H72" s="6" t="s">
        <v>6</v>
      </c>
      <c r="I72" s="7">
        <v>35000</v>
      </c>
      <c r="J72" s="8">
        <v>4</v>
      </c>
      <c r="K72" s="29">
        <f t="shared" si="14"/>
        <v>140000</v>
      </c>
      <c r="L72" s="103"/>
      <c r="N72" s="110">
        <v>100000</v>
      </c>
      <c r="O72" s="110">
        <f t="shared" ref="O72:O80" si="16">K72-N72</f>
        <v>40000</v>
      </c>
    </row>
    <row r="73" spans="1:15" x14ac:dyDescent="0.25">
      <c r="A73" s="6"/>
      <c r="B73" s="6"/>
      <c r="C73" s="6"/>
      <c r="D73" s="6"/>
      <c r="E73" s="7">
        <f t="shared" si="15"/>
        <v>0</v>
      </c>
      <c r="F73" s="6" t="s">
        <v>152</v>
      </c>
      <c r="G73" s="6" t="s">
        <v>24</v>
      </c>
      <c r="H73" s="6" t="s">
        <v>6</v>
      </c>
      <c r="I73" s="7">
        <v>22500</v>
      </c>
      <c r="J73" s="8">
        <v>4</v>
      </c>
      <c r="K73" s="29">
        <f t="shared" si="14"/>
        <v>90000</v>
      </c>
      <c r="L73" s="103"/>
      <c r="N73" s="110">
        <v>21000</v>
      </c>
      <c r="O73" s="110">
        <f t="shared" si="16"/>
        <v>69000</v>
      </c>
    </row>
    <row r="74" spans="1:15" x14ac:dyDescent="0.25">
      <c r="A74" s="6"/>
      <c r="B74" s="6"/>
      <c r="C74" s="7"/>
      <c r="D74" s="8"/>
      <c r="E74" s="7">
        <f t="shared" si="15"/>
        <v>0</v>
      </c>
      <c r="F74" s="6" t="s">
        <v>9</v>
      </c>
      <c r="G74" s="6" t="s">
        <v>24</v>
      </c>
      <c r="H74" s="6" t="s">
        <v>2</v>
      </c>
      <c r="I74" s="7">
        <v>75000</v>
      </c>
      <c r="J74" s="8">
        <v>1</v>
      </c>
      <c r="K74" s="29">
        <f t="shared" si="14"/>
        <v>75000</v>
      </c>
      <c r="L74" s="103"/>
      <c r="N74" s="110">
        <v>75000</v>
      </c>
      <c r="O74" s="110">
        <f t="shared" si="16"/>
        <v>0</v>
      </c>
    </row>
    <row r="75" spans="1:15" x14ac:dyDescent="0.25">
      <c r="A75" s="6"/>
      <c r="B75" s="6"/>
      <c r="C75" s="6"/>
      <c r="D75" s="6"/>
      <c r="E75" s="7">
        <f t="shared" si="15"/>
        <v>0</v>
      </c>
      <c r="F75" s="6" t="s">
        <v>12</v>
      </c>
      <c r="G75" s="6" t="s">
        <v>25</v>
      </c>
      <c r="H75" s="6" t="s">
        <v>2</v>
      </c>
      <c r="I75" s="7">
        <v>150000</v>
      </c>
      <c r="J75" s="8">
        <v>1</v>
      </c>
      <c r="K75" s="29">
        <f t="shared" si="14"/>
        <v>150000</v>
      </c>
      <c r="L75" s="103"/>
      <c r="N75" s="110">
        <v>40000</v>
      </c>
      <c r="O75" s="110">
        <f t="shared" si="16"/>
        <v>110000</v>
      </c>
    </row>
    <row r="76" spans="1:15" x14ac:dyDescent="0.25">
      <c r="A76" s="6"/>
      <c r="B76" s="6"/>
      <c r="C76" s="6"/>
      <c r="D76" s="6"/>
      <c r="E76" s="7">
        <f t="shared" si="15"/>
        <v>0</v>
      </c>
      <c r="F76" s="6" t="s">
        <v>13</v>
      </c>
      <c r="G76" s="6" t="s">
        <v>25</v>
      </c>
      <c r="H76" s="6" t="s">
        <v>2</v>
      </c>
      <c r="I76" s="7">
        <v>60000</v>
      </c>
      <c r="J76" s="8">
        <v>1</v>
      </c>
      <c r="K76" s="29">
        <f t="shared" si="14"/>
        <v>60000</v>
      </c>
      <c r="L76" s="103"/>
      <c r="O76" s="110">
        <f t="shared" si="16"/>
        <v>60000</v>
      </c>
    </row>
    <row r="77" spans="1:15" x14ac:dyDescent="0.25">
      <c r="A77" s="6"/>
      <c r="B77" s="6"/>
      <c r="C77" s="6"/>
      <c r="D77" s="6"/>
      <c r="E77" s="7">
        <f t="shared" si="15"/>
        <v>0</v>
      </c>
      <c r="F77" s="6" t="s">
        <v>1</v>
      </c>
      <c r="G77" s="6" t="s">
        <v>24</v>
      </c>
      <c r="H77" s="6" t="s">
        <v>2</v>
      </c>
      <c r="I77" s="7">
        <v>1600000</v>
      </c>
      <c r="J77" s="8">
        <v>1</v>
      </c>
      <c r="K77" s="29">
        <f t="shared" si="14"/>
        <v>1600000</v>
      </c>
      <c r="L77" s="103"/>
      <c r="N77" s="110">
        <v>1600000</v>
      </c>
      <c r="O77" s="110">
        <f t="shared" si="16"/>
        <v>0</v>
      </c>
    </row>
    <row r="78" spans="1:15" x14ac:dyDescent="0.25">
      <c r="A78" s="6"/>
      <c r="B78" s="6"/>
      <c r="C78" s="6"/>
      <c r="D78" s="6"/>
      <c r="E78" s="7">
        <f t="shared" si="15"/>
        <v>0</v>
      </c>
      <c r="F78" s="6" t="s">
        <v>10</v>
      </c>
      <c r="G78" s="6" t="s">
        <v>14</v>
      </c>
      <c r="H78" s="6" t="s">
        <v>2</v>
      </c>
      <c r="I78" s="7">
        <v>0</v>
      </c>
      <c r="J78" s="8">
        <v>1</v>
      </c>
      <c r="K78" s="29">
        <f t="shared" si="14"/>
        <v>0</v>
      </c>
      <c r="L78" s="103"/>
      <c r="O78" s="110">
        <f t="shared" si="16"/>
        <v>0</v>
      </c>
    </row>
    <row r="79" spans="1:15" x14ac:dyDescent="0.25">
      <c r="A79" s="6"/>
      <c r="B79" s="6"/>
      <c r="C79" s="6"/>
      <c r="D79" s="6"/>
      <c r="E79" s="7">
        <f t="shared" si="15"/>
        <v>0</v>
      </c>
      <c r="F79" s="6" t="s">
        <v>49</v>
      </c>
      <c r="G79" s="6" t="s">
        <v>14</v>
      </c>
      <c r="H79" s="6" t="s">
        <v>6</v>
      </c>
      <c r="I79" s="7">
        <v>75000</v>
      </c>
      <c r="J79" s="8">
        <v>4</v>
      </c>
      <c r="K79" s="29">
        <f t="shared" si="14"/>
        <v>300000</v>
      </c>
      <c r="L79" s="103"/>
      <c r="N79" s="110">
        <v>150000</v>
      </c>
      <c r="O79" s="110">
        <f t="shared" si="16"/>
        <v>150000</v>
      </c>
    </row>
    <row r="80" spans="1:15" x14ac:dyDescent="0.25">
      <c r="A80" s="6"/>
      <c r="B80" s="6"/>
      <c r="C80" s="6"/>
      <c r="D80" s="6"/>
      <c r="E80" s="7">
        <f t="shared" si="15"/>
        <v>0</v>
      </c>
      <c r="F80" s="12" t="s">
        <v>15</v>
      </c>
      <c r="G80" s="12" t="s">
        <v>24</v>
      </c>
      <c r="H80" s="12" t="s">
        <v>2</v>
      </c>
      <c r="I80" s="13">
        <v>185000</v>
      </c>
      <c r="J80" s="14">
        <v>1</v>
      </c>
      <c r="K80" s="29">
        <f t="shared" si="14"/>
        <v>185000</v>
      </c>
      <c r="L80" s="103"/>
      <c r="N80" s="110">
        <v>100000</v>
      </c>
      <c r="O80" s="110">
        <f t="shared" si="16"/>
        <v>85000</v>
      </c>
    </row>
    <row r="81" spans="1:15" x14ac:dyDescent="0.25">
      <c r="A81" s="6"/>
      <c r="B81" s="6"/>
      <c r="C81" s="6"/>
      <c r="D81" s="6"/>
      <c r="E81" s="7">
        <f t="shared" si="15"/>
        <v>0</v>
      </c>
      <c r="F81" s="156" t="s">
        <v>26</v>
      </c>
      <c r="G81" s="157"/>
      <c r="H81" s="157"/>
      <c r="I81" s="157"/>
      <c r="J81" s="158"/>
      <c r="K81" s="30">
        <f>SUM(K71:K80)</f>
        <v>4100000</v>
      </c>
      <c r="L81" s="10">
        <f>E88-K81</f>
        <v>4400000</v>
      </c>
      <c r="N81" s="112">
        <f>SUM(N71:N80)</f>
        <v>2936000</v>
      </c>
      <c r="O81" s="112">
        <f>SUM(O71:O80)</f>
        <v>1164000</v>
      </c>
    </row>
    <row r="82" spans="1:15" x14ac:dyDescent="0.25">
      <c r="A82" s="6"/>
      <c r="B82" s="6"/>
      <c r="C82" s="6"/>
      <c r="D82" s="6"/>
      <c r="E82" s="7">
        <v>0</v>
      </c>
      <c r="F82" s="25" t="s">
        <v>151</v>
      </c>
      <c r="G82" s="26"/>
      <c r="H82" s="26"/>
      <c r="I82" s="26"/>
      <c r="J82" s="27"/>
      <c r="K82" s="30">
        <v>500000</v>
      </c>
      <c r="L82" s="10">
        <f>L81-K82</f>
        <v>3900000</v>
      </c>
      <c r="N82" s="110">
        <v>500000</v>
      </c>
      <c r="O82" s="110">
        <f>K82-N82</f>
        <v>0</v>
      </c>
    </row>
    <row r="83" spans="1:15" x14ac:dyDescent="0.25">
      <c r="A83" s="6"/>
      <c r="B83" s="6"/>
      <c r="C83" s="6"/>
      <c r="D83" s="6"/>
      <c r="E83" s="7">
        <v>0</v>
      </c>
      <c r="F83" s="25" t="s">
        <v>157</v>
      </c>
      <c r="G83" s="26"/>
      <c r="H83" s="26"/>
      <c r="I83" s="26"/>
      <c r="J83" s="27"/>
      <c r="K83" s="30">
        <v>100000</v>
      </c>
      <c r="L83" s="10">
        <f t="shared" ref="L83:L87" si="17">L82-K83</f>
        <v>3800000</v>
      </c>
      <c r="N83" s="110">
        <v>100000</v>
      </c>
      <c r="O83" s="110">
        <f t="shared" ref="O83:O87" si="18">K83-N83</f>
        <v>0</v>
      </c>
    </row>
    <row r="84" spans="1:15" x14ac:dyDescent="0.25">
      <c r="A84" s="6"/>
      <c r="B84" s="6"/>
      <c r="C84" s="6"/>
      <c r="D84" s="6"/>
      <c r="E84" s="7">
        <v>0</v>
      </c>
      <c r="F84" s="25" t="s">
        <v>155</v>
      </c>
      <c r="G84" s="26"/>
      <c r="H84" s="26"/>
      <c r="I84" s="26"/>
      <c r="J84" s="27"/>
      <c r="K84" s="30">
        <v>0</v>
      </c>
      <c r="L84" s="10">
        <f t="shared" si="17"/>
        <v>3800000</v>
      </c>
      <c r="N84" s="110">
        <v>0</v>
      </c>
      <c r="O84" s="110">
        <f t="shared" si="18"/>
        <v>0</v>
      </c>
    </row>
    <row r="85" spans="1:15" x14ac:dyDescent="0.25">
      <c r="A85" s="6"/>
      <c r="B85" s="6"/>
      <c r="C85" s="6"/>
      <c r="D85" s="6"/>
      <c r="E85" s="7">
        <v>0</v>
      </c>
      <c r="F85" s="25" t="s">
        <v>156</v>
      </c>
      <c r="G85" s="26"/>
      <c r="H85" s="26"/>
      <c r="I85" s="26"/>
      <c r="J85" s="27"/>
      <c r="K85" s="30">
        <v>0</v>
      </c>
      <c r="L85" s="10">
        <f t="shared" si="17"/>
        <v>3800000</v>
      </c>
      <c r="N85" s="110">
        <v>0</v>
      </c>
      <c r="O85" s="110">
        <f t="shared" si="18"/>
        <v>0</v>
      </c>
    </row>
    <row r="86" spans="1:15" x14ac:dyDescent="0.25">
      <c r="A86" s="6"/>
      <c r="B86" s="6"/>
      <c r="C86" s="6"/>
      <c r="D86" s="6"/>
      <c r="E86" s="7">
        <v>0</v>
      </c>
      <c r="F86" s="25" t="s">
        <v>163</v>
      </c>
      <c r="G86" s="26"/>
      <c r="H86" s="26"/>
      <c r="I86" s="26"/>
      <c r="J86" s="27"/>
      <c r="K86" s="30">
        <v>600000</v>
      </c>
      <c r="L86" s="10">
        <f t="shared" si="17"/>
        <v>3200000</v>
      </c>
      <c r="N86" s="110">
        <v>600000</v>
      </c>
      <c r="O86" s="110">
        <f t="shared" si="18"/>
        <v>0</v>
      </c>
    </row>
    <row r="87" spans="1:15" x14ac:dyDescent="0.25">
      <c r="A87" s="6"/>
      <c r="B87" s="6"/>
      <c r="C87" s="6"/>
      <c r="D87" s="6"/>
      <c r="E87" s="7">
        <f t="shared" ref="E87" si="19">C87*D87</f>
        <v>0</v>
      </c>
      <c r="F87" s="25" t="s">
        <v>19</v>
      </c>
      <c r="G87" s="26"/>
      <c r="H87" s="26"/>
      <c r="I87" s="26"/>
      <c r="J87" s="27"/>
      <c r="K87" s="29">
        <f>L86</f>
        <v>3200000</v>
      </c>
      <c r="L87" s="10">
        <f t="shared" si="17"/>
        <v>0</v>
      </c>
      <c r="N87" s="110">
        <v>3200000</v>
      </c>
      <c r="O87" s="110">
        <f t="shared" si="18"/>
        <v>0</v>
      </c>
    </row>
    <row r="88" spans="1:15" x14ac:dyDescent="0.25">
      <c r="A88" s="20" t="s">
        <v>20</v>
      </c>
      <c r="B88" s="21"/>
      <c r="C88" s="21"/>
      <c r="D88" s="22"/>
      <c r="E88" s="24">
        <f>SUM(E71:E87)</f>
        <v>8500000</v>
      </c>
      <c r="F88" s="20" t="s">
        <v>20</v>
      </c>
      <c r="G88" s="21"/>
      <c r="H88" s="21"/>
      <c r="I88" s="21"/>
      <c r="J88" s="23"/>
      <c r="K88" s="16">
        <f>SUM(K81:K87)</f>
        <v>8500000</v>
      </c>
      <c r="L88" s="17" t="b">
        <f>K88=E88</f>
        <v>1</v>
      </c>
      <c r="N88" s="113">
        <f>SUM(N81:N87)</f>
        <v>7336000</v>
      </c>
      <c r="O88" s="113">
        <f>SUM(O81:O87)</f>
        <v>1164000</v>
      </c>
    </row>
    <row r="90" spans="1:15" ht="13.45" x14ac:dyDescent="0.3">
      <c r="A90" s="148" t="s">
        <v>164</v>
      </c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</row>
    <row r="91" spans="1:15" x14ac:dyDescent="0.25">
      <c r="A91" s="149" t="s">
        <v>16</v>
      </c>
      <c r="B91" s="149"/>
      <c r="C91" s="149"/>
      <c r="D91" s="149"/>
      <c r="E91" s="149"/>
      <c r="F91" s="150" t="s">
        <v>0</v>
      </c>
      <c r="G91" s="150"/>
      <c r="H91" s="150"/>
      <c r="I91" s="150"/>
      <c r="J91" s="150"/>
      <c r="K91" s="151"/>
      <c r="L91" s="114" t="s">
        <v>23</v>
      </c>
      <c r="N91" s="115" t="s">
        <v>161</v>
      </c>
      <c r="O91" s="115" t="s">
        <v>23</v>
      </c>
    </row>
    <row r="92" spans="1:15" x14ac:dyDescent="0.25">
      <c r="A92" s="116" t="s">
        <v>17</v>
      </c>
      <c r="B92" s="116" t="s">
        <v>2</v>
      </c>
      <c r="C92" s="117">
        <v>9320000</v>
      </c>
      <c r="D92" s="118">
        <v>1</v>
      </c>
      <c r="E92" s="117">
        <f t="shared" ref="E92:E102" si="20">C92*D92</f>
        <v>9320000</v>
      </c>
      <c r="F92" s="116" t="s">
        <v>3</v>
      </c>
      <c r="G92" s="116" t="s">
        <v>24</v>
      </c>
      <c r="H92" s="119" t="s">
        <v>4</v>
      </c>
      <c r="I92" s="120">
        <v>50000</v>
      </c>
      <c r="J92" s="121">
        <v>30</v>
      </c>
      <c r="K92" s="122">
        <f t="shared" ref="K92:K101" si="21">I92*J92</f>
        <v>1500000</v>
      </c>
      <c r="L92" s="123"/>
      <c r="N92" s="110">
        <f>9*I92</f>
        <v>450000</v>
      </c>
      <c r="O92" s="110">
        <f t="shared" ref="O92:O101" si="22">K92-N92</f>
        <v>1050000</v>
      </c>
    </row>
    <row r="93" spans="1:15" x14ac:dyDescent="0.25">
      <c r="A93" s="116"/>
      <c r="B93" s="116"/>
      <c r="C93" s="117"/>
      <c r="D93" s="118"/>
      <c r="E93" s="117">
        <f t="shared" si="20"/>
        <v>0</v>
      </c>
      <c r="F93" s="116" t="s">
        <v>5</v>
      </c>
      <c r="G93" s="116" t="s">
        <v>24</v>
      </c>
      <c r="H93" s="116" t="s">
        <v>6</v>
      </c>
      <c r="I93" s="117">
        <v>35000</v>
      </c>
      <c r="J93" s="118">
        <v>4</v>
      </c>
      <c r="K93" s="124">
        <f t="shared" si="21"/>
        <v>140000</v>
      </c>
      <c r="L93" s="125"/>
      <c r="N93" s="110">
        <v>100000</v>
      </c>
      <c r="O93" s="110">
        <f t="shared" si="22"/>
        <v>40000</v>
      </c>
    </row>
    <row r="94" spans="1:15" x14ac:dyDescent="0.25">
      <c r="A94" s="116"/>
      <c r="B94" s="116"/>
      <c r="C94" s="116"/>
      <c r="D94" s="116"/>
      <c r="E94" s="117">
        <f t="shared" si="20"/>
        <v>0</v>
      </c>
      <c r="F94" s="116" t="s">
        <v>152</v>
      </c>
      <c r="G94" s="116" t="s">
        <v>24</v>
      </c>
      <c r="H94" s="116" t="s">
        <v>6</v>
      </c>
      <c r="I94" s="117">
        <v>7500</v>
      </c>
      <c r="J94" s="118">
        <v>4</v>
      </c>
      <c r="K94" s="124">
        <f t="shared" si="21"/>
        <v>30000</v>
      </c>
      <c r="L94" s="125"/>
      <c r="N94" s="110">
        <v>7000</v>
      </c>
      <c r="O94" s="110">
        <f t="shared" si="22"/>
        <v>23000</v>
      </c>
    </row>
    <row r="95" spans="1:15" x14ac:dyDescent="0.25">
      <c r="A95" s="116"/>
      <c r="B95" s="116"/>
      <c r="C95" s="117"/>
      <c r="D95" s="118"/>
      <c r="E95" s="117">
        <f t="shared" si="20"/>
        <v>0</v>
      </c>
      <c r="F95" s="116" t="s">
        <v>9</v>
      </c>
      <c r="G95" s="116" t="s">
        <v>24</v>
      </c>
      <c r="H95" s="116" t="s">
        <v>2</v>
      </c>
      <c r="I95" s="117">
        <v>75000</v>
      </c>
      <c r="J95" s="118">
        <v>1</v>
      </c>
      <c r="K95" s="124">
        <f t="shared" si="21"/>
        <v>75000</v>
      </c>
      <c r="L95" s="125"/>
      <c r="O95" s="110">
        <f t="shared" si="22"/>
        <v>75000</v>
      </c>
    </row>
    <row r="96" spans="1:15" x14ac:dyDescent="0.25">
      <c r="A96" s="116"/>
      <c r="B96" s="116"/>
      <c r="C96" s="116"/>
      <c r="D96" s="116"/>
      <c r="E96" s="117">
        <f t="shared" si="20"/>
        <v>0</v>
      </c>
      <c r="F96" s="116" t="s">
        <v>12</v>
      </c>
      <c r="G96" s="116" t="s">
        <v>25</v>
      </c>
      <c r="H96" s="116" t="s">
        <v>2</v>
      </c>
      <c r="I96" s="117">
        <v>150000</v>
      </c>
      <c r="J96" s="118">
        <v>1</v>
      </c>
      <c r="K96" s="124">
        <f t="shared" si="21"/>
        <v>150000</v>
      </c>
      <c r="L96" s="125"/>
      <c r="N96" s="110">
        <f>40000+50000+30000</f>
        <v>120000</v>
      </c>
      <c r="O96" s="110">
        <f t="shared" si="22"/>
        <v>30000</v>
      </c>
    </row>
    <row r="97" spans="1:15" x14ac:dyDescent="0.25">
      <c r="A97" s="116"/>
      <c r="B97" s="116"/>
      <c r="C97" s="116"/>
      <c r="D97" s="116"/>
      <c r="E97" s="117">
        <f t="shared" si="20"/>
        <v>0</v>
      </c>
      <c r="F97" s="116" t="s">
        <v>13</v>
      </c>
      <c r="G97" s="116" t="s">
        <v>25</v>
      </c>
      <c r="H97" s="116" t="s">
        <v>2</v>
      </c>
      <c r="I97" s="117">
        <v>25000</v>
      </c>
      <c r="J97" s="118">
        <v>1</v>
      </c>
      <c r="K97" s="124">
        <f t="shared" si="21"/>
        <v>25000</v>
      </c>
      <c r="L97" s="125"/>
      <c r="O97" s="110">
        <f t="shared" si="22"/>
        <v>25000</v>
      </c>
    </row>
    <row r="98" spans="1:15" x14ac:dyDescent="0.25">
      <c r="A98" s="116"/>
      <c r="B98" s="116"/>
      <c r="C98" s="116"/>
      <c r="D98" s="116"/>
      <c r="E98" s="117">
        <f t="shared" si="20"/>
        <v>0</v>
      </c>
      <c r="F98" s="116" t="s">
        <v>1</v>
      </c>
      <c r="G98" s="116" t="s">
        <v>24</v>
      </c>
      <c r="H98" s="116" t="s">
        <v>2</v>
      </c>
      <c r="I98" s="117">
        <v>1600000</v>
      </c>
      <c r="J98" s="118">
        <v>1</v>
      </c>
      <c r="K98" s="124">
        <f t="shared" si="21"/>
        <v>1600000</v>
      </c>
      <c r="L98" s="125"/>
      <c r="N98" s="110">
        <v>1600000</v>
      </c>
      <c r="O98" s="110">
        <f t="shared" si="22"/>
        <v>0</v>
      </c>
    </row>
    <row r="99" spans="1:15" x14ac:dyDescent="0.25">
      <c r="A99" s="116"/>
      <c r="B99" s="116"/>
      <c r="C99" s="116"/>
      <c r="D99" s="116"/>
      <c r="E99" s="117">
        <f t="shared" si="20"/>
        <v>0</v>
      </c>
      <c r="F99" s="116" t="s">
        <v>10</v>
      </c>
      <c r="G99" s="116" t="s">
        <v>14</v>
      </c>
      <c r="H99" s="116" t="s">
        <v>2</v>
      </c>
      <c r="I99" s="117">
        <v>0</v>
      </c>
      <c r="J99" s="118">
        <v>1</v>
      </c>
      <c r="K99" s="124">
        <f t="shared" si="21"/>
        <v>0</v>
      </c>
      <c r="L99" s="125"/>
      <c r="N99" s="110">
        <v>0</v>
      </c>
      <c r="O99" s="110">
        <f t="shared" si="22"/>
        <v>0</v>
      </c>
    </row>
    <row r="100" spans="1:15" x14ac:dyDescent="0.25">
      <c r="A100" s="116"/>
      <c r="B100" s="116"/>
      <c r="C100" s="116"/>
      <c r="D100" s="116"/>
      <c r="E100" s="117">
        <f t="shared" si="20"/>
        <v>0</v>
      </c>
      <c r="F100" s="116" t="s">
        <v>49</v>
      </c>
      <c r="G100" s="116" t="s">
        <v>14</v>
      </c>
      <c r="H100" s="116" t="s">
        <v>6</v>
      </c>
      <c r="I100" s="117">
        <v>75000</v>
      </c>
      <c r="J100" s="118">
        <v>4</v>
      </c>
      <c r="K100" s="124">
        <f t="shared" si="21"/>
        <v>300000</v>
      </c>
      <c r="L100" s="125"/>
      <c r="N100" s="110">
        <v>40000</v>
      </c>
      <c r="O100" s="110">
        <f t="shared" si="22"/>
        <v>260000</v>
      </c>
    </row>
    <row r="101" spans="1:15" x14ac:dyDescent="0.25">
      <c r="A101" s="116"/>
      <c r="B101" s="116"/>
      <c r="C101" s="116"/>
      <c r="D101" s="116"/>
      <c r="E101" s="117">
        <f t="shared" si="20"/>
        <v>0</v>
      </c>
      <c r="F101" s="126" t="s">
        <v>15</v>
      </c>
      <c r="G101" s="126" t="s">
        <v>24</v>
      </c>
      <c r="H101" s="126" t="s">
        <v>2</v>
      </c>
      <c r="I101" s="123">
        <v>200000</v>
      </c>
      <c r="J101" s="127">
        <v>1</v>
      </c>
      <c r="K101" s="124">
        <f t="shared" si="21"/>
        <v>200000</v>
      </c>
      <c r="L101" s="125"/>
      <c r="N101" s="110">
        <v>70000</v>
      </c>
      <c r="O101" s="110">
        <f t="shared" si="22"/>
        <v>130000</v>
      </c>
    </row>
    <row r="102" spans="1:15" x14ac:dyDescent="0.25">
      <c r="A102" s="116"/>
      <c r="B102" s="116"/>
      <c r="C102" s="116"/>
      <c r="D102" s="116"/>
      <c r="E102" s="117">
        <f t="shared" si="20"/>
        <v>0</v>
      </c>
      <c r="F102" s="152" t="s">
        <v>26</v>
      </c>
      <c r="G102" s="153"/>
      <c r="H102" s="153"/>
      <c r="I102" s="153"/>
      <c r="J102" s="154"/>
      <c r="K102" s="128">
        <f>SUM(K92:K101)</f>
        <v>4020000</v>
      </c>
      <c r="L102" s="120">
        <f>E109-K102</f>
        <v>5300000</v>
      </c>
      <c r="N102" s="129">
        <f>SUM(N92:N101)</f>
        <v>2387000</v>
      </c>
      <c r="O102" s="129">
        <f>SUM(O92:O101)</f>
        <v>1633000</v>
      </c>
    </row>
    <row r="103" spans="1:15" x14ac:dyDescent="0.25">
      <c r="A103" s="116"/>
      <c r="B103" s="116"/>
      <c r="C103" s="116"/>
      <c r="D103" s="116"/>
      <c r="E103" s="117">
        <v>0</v>
      </c>
      <c r="F103" s="130" t="s">
        <v>151</v>
      </c>
      <c r="G103" s="131"/>
      <c r="H103" s="131"/>
      <c r="I103" s="131"/>
      <c r="J103" s="132"/>
      <c r="K103" s="128">
        <v>700000</v>
      </c>
      <c r="L103" s="120">
        <f t="shared" ref="L103:L108" si="23">L102-K103</f>
        <v>4600000</v>
      </c>
      <c r="N103" s="110">
        <v>700000</v>
      </c>
      <c r="O103" s="110">
        <f t="shared" ref="O103:O108" si="24">K103-N103</f>
        <v>0</v>
      </c>
    </row>
    <row r="104" spans="1:15" x14ac:dyDescent="0.25">
      <c r="A104" s="116"/>
      <c r="B104" s="116"/>
      <c r="C104" s="116"/>
      <c r="D104" s="116"/>
      <c r="E104" s="117">
        <v>0</v>
      </c>
      <c r="F104" s="130" t="s">
        <v>157</v>
      </c>
      <c r="G104" s="131"/>
      <c r="H104" s="131"/>
      <c r="I104" s="131"/>
      <c r="J104" s="132"/>
      <c r="K104" s="128">
        <v>100000</v>
      </c>
      <c r="L104" s="120">
        <f t="shared" si="23"/>
        <v>4500000</v>
      </c>
      <c r="N104" s="110">
        <v>100000</v>
      </c>
      <c r="O104" s="110">
        <f t="shared" si="24"/>
        <v>0</v>
      </c>
    </row>
    <row r="105" spans="1:15" x14ac:dyDescent="0.25">
      <c r="A105" s="116"/>
      <c r="B105" s="116"/>
      <c r="C105" s="116"/>
      <c r="D105" s="116"/>
      <c r="E105" s="117">
        <v>0</v>
      </c>
      <c r="F105" s="130" t="s">
        <v>155</v>
      </c>
      <c r="G105" s="131"/>
      <c r="H105" s="131"/>
      <c r="I105" s="131"/>
      <c r="J105" s="132"/>
      <c r="K105" s="128">
        <v>0</v>
      </c>
      <c r="L105" s="120">
        <f t="shared" si="23"/>
        <v>4500000</v>
      </c>
      <c r="O105" s="110">
        <f t="shared" si="24"/>
        <v>0</v>
      </c>
    </row>
    <row r="106" spans="1:15" x14ac:dyDescent="0.25">
      <c r="A106" s="116"/>
      <c r="B106" s="116"/>
      <c r="C106" s="116"/>
      <c r="D106" s="116"/>
      <c r="E106" s="117">
        <v>0</v>
      </c>
      <c r="F106" s="130" t="s">
        <v>156</v>
      </c>
      <c r="G106" s="131"/>
      <c r="H106" s="131"/>
      <c r="I106" s="131"/>
      <c r="J106" s="132"/>
      <c r="K106" s="128">
        <v>0</v>
      </c>
      <c r="L106" s="120">
        <f t="shared" si="23"/>
        <v>4500000</v>
      </c>
      <c r="O106" s="110">
        <f t="shared" si="24"/>
        <v>0</v>
      </c>
    </row>
    <row r="107" spans="1:15" x14ac:dyDescent="0.25">
      <c r="A107" s="116"/>
      <c r="B107" s="116"/>
      <c r="C107" s="116"/>
      <c r="D107" s="116"/>
      <c r="E107" s="117">
        <v>0</v>
      </c>
      <c r="F107" s="130" t="s">
        <v>165</v>
      </c>
      <c r="G107" s="131"/>
      <c r="H107" s="131"/>
      <c r="I107" s="131"/>
      <c r="J107" s="132"/>
      <c r="K107" s="128">
        <v>600000</v>
      </c>
      <c r="L107" s="120">
        <f t="shared" si="23"/>
        <v>3900000</v>
      </c>
      <c r="N107" s="110">
        <v>600000</v>
      </c>
      <c r="O107" s="110">
        <f t="shared" si="24"/>
        <v>0</v>
      </c>
    </row>
    <row r="108" spans="1:15" x14ac:dyDescent="0.25">
      <c r="A108" s="116"/>
      <c r="B108" s="116"/>
      <c r="C108" s="116"/>
      <c r="D108" s="116"/>
      <c r="E108" s="117">
        <f>C108*D108</f>
        <v>0</v>
      </c>
      <c r="F108" s="130" t="s">
        <v>19</v>
      </c>
      <c r="G108" s="131"/>
      <c r="H108" s="131"/>
      <c r="I108" s="131"/>
      <c r="J108" s="132"/>
      <c r="K108" s="124">
        <f>L107</f>
        <v>3900000</v>
      </c>
      <c r="L108" s="120">
        <f t="shared" si="23"/>
        <v>0</v>
      </c>
      <c r="N108" s="110">
        <v>3900000</v>
      </c>
      <c r="O108" s="110">
        <f t="shared" si="24"/>
        <v>0</v>
      </c>
    </row>
    <row r="109" spans="1:15" x14ac:dyDescent="0.25">
      <c r="A109" s="133" t="s">
        <v>20</v>
      </c>
      <c r="B109" s="134"/>
      <c r="C109" s="134"/>
      <c r="D109" s="135"/>
      <c r="E109" s="136">
        <f>SUM(E92:E108)</f>
        <v>9320000</v>
      </c>
      <c r="F109" s="133" t="s">
        <v>20</v>
      </c>
      <c r="G109" s="134"/>
      <c r="H109" s="134"/>
      <c r="I109" s="134"/>
      <c r="J109" s="137"/>
      <c r="K109" s="138">
        <f>SUM(K102:K108)</f>
        <v>9320000</v>
      </c>
      <c r="L109" s="139" t="b">
        <f>K109=E109</f>
        <v>1</v>
      </c>
      <c r="N109" s="140">
        <f>SUM(N102:N108)</f>
        <v>7687000</v>
      </c>
      <c r="O109" s="140">
        <f>SUM(O102:O108)</f>
        <v>1633000</v>
      </c>
    </row>
    <row r="111" spans="1:15" ht="13.45" x14ac:dyDescent="0.3">
      <c r="A111" s="148" t="s">
        <v>166</v>
      </c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</row>
    <row r="112" spans="1:15" x14ac:dyDescent="0.25">
      <c r="A112" s="149" t="s">
        <v>16</v>
      </c>
      <c r="B112" s="149"/>
      <c r="C112" s="149"/>
      <c r="D112" s="149"/>
      <c r="E112" s="149"/>
      <c r="F112" s="150" t="s">
        <v>0</v>
      </c>
      <c r="G112" s="150"/>
      <c r="H112" s="150"/>
      <c r="I112" s="150"/>
      <c r="J112" s="150"/>
      <c r="K112" s="151"/>
      <c r="L112" s="114" t="s">
        <v>23</v>
      </c>
      <c r="N112" s="115" t="s">
        <v>161</v>
      </c>
      <c r="O112" s="115" t="s">
        <v>23</v>
      </c>
    </row>
    <row r="113" spans="1:15" x14ac:dyDescent="0.25">
      <c r="A113" s="116" t="s">
        <v>17</v>
      </c>
      <c r="B113" s="116" t="s">
        <v>2</v>
      </c>
      <c r="C113" s="117">
        <v>9290000</v>
      </c>
      <c r="D113" s="118">
        <v>1</v>
      </c>
      <c r="E113" s="117">
        <f t="shared" ref="E113:E123" si="25">C113*D113</f>
        <v>9290000</v>
      </c>
      <c r="F113" s="116" t="s">
        <v>3</v>
      </c>
      <c r="G113" s="116" t="s">
        <v>24</v>
      </c>
      <c r="H113" s="119" t="s">
        <v>4</v>
      </c>
      <c r="I113" s="120">
        <v>50000</v>
      </c>
      <c r="J113" s="121">
        <v>30</v>
      </c>
      <c r="K113" s="122">
        <f t="shared" ref="K113:K122" si="26">I113*J113</f>
        <v>1500000</v>
      </c>
      <c r="L113" s="123"/>
      <c r="O113" s="110">
        <f t="shared" ref="O113:O122" si="27">K113-N113</f>
        <v>1500000</v>
      </c>
    </row>
    <row r="114" spans="1:15" x14ac:dyDescent="0.25">
      <c r="A114" s="116"/>
      <c r="B114" s="116"/>
      <c r="C114" s="117"/>
      <c r="D114" s="118"/>
      <c r="E114" s="117">
        <f t="shared" si="25"/>
        <v>0</v>
      </c>
      <c r="F114" s="116" t="s">
        <v>5</v>
      </c>
      <c r="G114" s="116" t="s">
        <v>24</v>
      </c>
      <c r="H114" s="116" t="s">
        <v>6</v>
      </c>
      <c r="I114" s="117">
        <v>35000</v>
      </c>
      <c r="J114" s="118">
        <v>4</v>
      </c>
      <c r="K114" s="124">
        <f t="shared" si="26"/>
        <v>140000</v>
      </c>
      <c r="L114" s="125"/>
      <c r="O114" s="110">
        <f t="shared" si="27"/>
        <v>140000</v>
      </c>
    </row>
    <row r="115" spans="1:15" x14ac:dyDescent="0.25">
      <c r="A115" s="116"/>
      <c r="B115" s="116"/>
      <c r="C115" s="116"/>
      <c r="D115" s="116"/>
      <c r="E115" s="117">
        <f t="shared" si="25"/>
        <v>0</v>
      </c>
      <c r="F115" s="116" t="s">
        <v>152</v>
      </c>
      <c r="G115" s="116" t="s">
        <v>24</v>
      </c>
      <c r="H115" s="116" t="s">
        <v>6</v>
      </c>
      <c r="I115" s="117">
        <v>7500</v>
      </c>
      <c r="J115" s="118">
        <v>4</v>
      </c>
      <c r="K115" s="124">
        <f t="shared" si="26"/>
        <v>30000</v>
      </c>
      <c r="L115" s="125"/>
      <c r="O115" s="110">
        <f t="shared" si="27"/>
        <v>30000</v>
      </c>
    </row>
    <row r="116" spans="1:15" x14ac:dyDescent="0.25">
      <c r="A116" s="116"/>
      <c r="B116" s="116"/>
      <c r="C116" s="117"/>
      <c r="D116" s="118"/>
      <c r="E116" s="117">
        <f t="shared" si="25"/>
        <v>0</v>
      </c>
      <c r="F116" s="116" t="s">
        <v>9</v>
      </c>
      <c r="G116" s="116" t="s">
        <v>24</v>
      </c>
      <c r="H116" s="116" t="s">
        <v>2</v>
      </c>
      <c r="I116" s="117">
        <v>75000</v>
      </c>
      <c r="J116" s="118">
        <v>1</v>
      </c>
      <c r="K116" s="124">
        <f t="shared" si="26"/>
        <v>75000</v>
      </c>
      <c r="L116" s="125"/>
      <c r="O116" s="110">
        <f t="shared" si="27"/>
        <v>75000</v>
      </c>
    </row>
    <row r="117" spans="1:15" x14ac:dyDescent="0.25">
      <c r="A117" s="116"/>
      <c r="B117" s="116"/>
      <c r="C117" s="116"/>
      <c r="D117" s="116"/>
      <c r="E117" s="117">
        <f t="shared" si="25"/>
        <v>0</v>
      </c>
      <c r="F117" s="116" t="s">
        <v>12</v>
      </c>
      <c r="G117" s="116" t="s">
        <v>25</v>
      </c>
      <c r="H117" s="116" t="s">
        <v>2</v>
      </c>
      <c r="I117" s="117">
        <v>150000</v>
      </c>
      <c r="J117" s="118">
        <v>1</v>
      </c>
      <c r="K117" s="124">
        <f t="shared" si="26"/>
        <v>150000</v>
      </c>
      <c r="L117" s="125"/>
      <c r="O117" s="110">
        <f t="shared" si="27"/>
        <v>150000</v>
      </c>
    </row>
    <row r="118" spans="1:15" x14ac:dyDescent="0.25">
      <c r="A118" s="116"/>
      <c r="B118" s="116"/>
      <c r="C118" s="116"/>
      <c r="D118" s="116"/>
      <c r="E118" s="117">
        <f t="shared" si="25"/>
        <v>0</v>
      </c>
      <c r="F118" s="116" t="s">
        <v>13</v>
      </c>
      <c r="G118" s="116" t="s">
        <v>25</v>
      </c>
      <c r="H118" s="116" t="s">
        <v>2</v>
      </c>
      <c r="I118" s="117">
        <v>30000</v>
      </c>
      <c r="J118" s="118">
        <v>1</v>
      </c>
      <c r="K118" s="124">
        <f t="shared" si="26"/>
        <v>30000</v>
      </c>
      <c r="L118" s="125"/>
      <c r="O118" s="110">
        <f t="shared" si="27"/>
        <v>30000</v>
      </c>
    </row>
    <row r="119" spans="1:15" x14ac:dyDescent="0.25">
      <c r="A119" s="116"/>
      <c r="B119" s="116"/>
      <c r="C119" s="116"/>
      <c r="D119" s="116"/>
      <c r="E119" s="117">
        <f t="shared" si="25"/>
        <v>0</v>
      </c>
      <c r="F119" s="116" t="s">
        <v>1</v>
      </c>
      <c r="G119" s="116" t="s">
        <v>24</v>
      </c>
      <c r="H119" s="116" t="s">
        <v>2</v>
      </c>
      <c r="I119" s="117">
        <v>1600000</v>
      </c>
      <c r="J119" s="118">
        <v>1</v>
      </c>
      <c r="K119" s="124">
        <f t="shared" si="26"/>
        <v>1600000</v>
      </c>
      <c r="L119" s="125"/>
      <c r="N119" s="110">
        <v>1600000</v>
      </c>
      <c r="O119" s="110">
        <f t="shared" si="27"/>
        <v>0</v>
      </c>
    </row>
    <row r="120" spans="1:15" x14ac:dyDescent="0.25">
      <c r="A120" s="116"/>
      <c r="B120" s="116"/>
      <c r="C120" s="116"/>
      <c r="D120" s="116"/>
      <c r="E120" s="117">
        <f t="shared" si="25"/>
        <v>0</v>
      </c>
      <c r="F120" s="116" t="s">
        <v>10</v>
      </c>
      <c r="G120" s="116" t="s">
        <v>14</v>
      </c>
      <c r="H120" s="116" t="s">
        <v>2</v>
      </c>
      <c r="I120" s="117">
        <v>0</v>
      </c>
      <c r="J120" s="118">
        <v>1</v>
      </c>
      <c r="K120" s="124">
        <f t="shared" si="26"/>
        <v>0</v>
      </c>
      <c r="L120" s="125"/>
      <c r="O120" s="110">
        <f t="shared" si="27"/>
        <v>0</v>
      </c>
    </row>
    <row r="121" spans="1:15" x14ac:dyDescent="0.25">
      <c r="A121" s="116"/>
      <c r="B121" s="116"/>
      <c r="C121" s="116"/>
      <c r="D121" s="116"/>
      <c r="E121" s="117">
        <f t="shared" si="25"/>
        <v>0</v>
      </c>
      <c r="F121" s="116" t="s">
        <v>49</v>
      </c>
      <c r="G121" s="116" t="s">
        <v>14</v>
      </c>
      <c r="H121" s="116" t="s">
        <v>6</v>
      </c>
      <c r="I121" s="117">
        <v>75000</v>
      </c>
      <c r="J121" s="118">
        <v>4</v>
      </c>
      <c r="K121" s="124">
        <f t="shared" si="26"/>
        <v>300000</v>
      </c>
      <c r="L121" s="125"/>
      <c r="O121" s="110">
        <f t="shared" si="27"/>
        <v>300000</v>
      </c>
    </row>
    <row r="122" spans="1:15" x14ac:dyDescent="0.25">
      <c r="A122" s="116"/>
      <c r="B122" s="116"/>
      <c r="C122" s="116"/>
      <c r="D122" s="116"/>
      <c r="E122" s="117">
        <f t="shared" si="25"/>
        <v>0</v>
      </c>
      <c r="F122" s="126" t="s">
        <v>15</v>
      </c>
      <c r="G122" s="126" t="s">
        <v>24</v>
      </c>
      <c r="H122" s="126" t="s">
        <v>2</v>
      </c>
      <c r="I122" s="123">
        <v>300000</v>
      </c>
      <c r="J122" s="127">
        <v>1</v>
      </c>
      <c r="K122" s="124">
        <f t="shared" si="26"/>
        <v>300000</v>
      </c>
      <c r="L122" s="125"/>
      <c r="O122" s="110">
        <f t="shared" si="27"/>
        <v>300000</v>
      </c>
    </row>
    <row r="123" spans="1:15" x14ac:dyDescent="0.25">
      <c r="A123" s="116"/>
      <c r="B123" s="116"/>
      <c r="C123" s="116"/>
      <c r="D123" s="116"/>
      <c r="E123" s="117">
        <f t="shared" si="25"/>
        <v>0</v>
      </c>
      <c r="F123" s="152" t="s">
        <v>26</v>
      </c>
      <c r="G123" s="153"/>
      <c r="H123" s="153"/>
      <c r="I123" s="153"/>
      <c r="J123" s="154"/>
      <c r="K123" s="128">
        <f>SUM(K113:K122)</f>
        <v>4125000</v>
      </c>
      <c r="L123" s="120">
        <f>E130-K123</f>
        <v>5165000</v>
      </c>
      <c r="N123" s="129">
        <f>SUM(N113:N122)</f>
        <v>1600000</v>
      </c>
      <c r="O123" s="129">
        <f>SUM(O113:O122)</f>
        <v>2525000</v>
      </c>
    </row>
    <row r="124" spans="1:15" x14ac:dyDescent="0.25">
      <c r="A124" s="116"/>
      <c r="B124" s="116"/>
      <c r="C124" s="116"/>
      <c r="D124" s="116"/>
      <c r="E124" s="117">
        <v>0</v>
      </c>
      <c r="F124" s="130" t="s">
        <v>151</v>
      </c>
      <c r="G124" s="131"/>
      <c r="H124" s="131"/>
      <c r="I124" s="131"/>
      <c r="J124" s="132"/>
      <c r="K124" s="128">
        <v>555000</v>
      </c>
      <c r="L124" s="120">
        <f t="shared" ref="L124:L129" si="28">L123-K124</f>
        <v>4610000</v>
      </c>
      <c r="N124" s="110">
        <v>555000</v>
      </c>
      <c r="O124" s="110">
        <f t="shared" ref="O124:O129" si="29">K124-N124</f>
        <v>0</v>
      </c>
    </row>
    <row r="125" spans="1:15" x14ac:dyDescent="0.25">
      <c r="A125" s="116"/>
      <c r="B125" s="116"/>
      <c r="C125" s="116"/>
      <c r="D125" s="116"/>
      <c r="E125" s="117">
        <v>0</v>
      </c>
      <c r="F125" s="130" t="s">
        <v>157</v>
      </c>
      <c r="G125" s="131"/>
      <c r="H125" s="131"/>
      <c r="I125" s="131"/>
      <c r="J125" s="132"/>
      <c r="K125" s="128">
        <v>100000</v>
      </c>
      <c r="L125" s="120">
        <f t="shared" si="28"/>
        <v>4510000</v>
      </c>
      <c r="N125" s="110">
        <v>100000</v>
      </c>
      <c r="O125" s="110">
        <f t="shared" si="29"/>
        <v>0</v>
      </c>
    </row>
    <row r="126" spans="1:15" x14ac:dyDescent="0.25">
      <c r="A126" s="116"/>
      <c r="B126" s="116"/>
      <c r="C126" s="116"/>
      <c r="D126" s="116"/>
      <c r="E126" s="117">
        <v>0</v>
      </c>
      <c r="F126" s="130" t="s">
        <v>155</v>
      </c>
      <c r="G126" s="131"/>
      <c r="H126" s="131"/>
      <c r="I126" s="131"/>
      <c r="J126" s="132"/>
      <c r="K126" s="128">
        <v>0</v>
      </c>
      <c r="L126" s="120">
        <f t="shared" si="28"/>
        <v>4510000</v>
      </c>
      <c r="O126" s="110">
        <f t="shared" si="29"/>
        <v>0</v>
      </c>
    </row>
    <row r="127" spans="1:15" x14ac:dyDescent="0.25">
      <c r="A127" s="116"/>
      <c r="B127" s="116"/>
      <c r="C127" s="116"/>
      <c r="D127" s="116"/>
      <c r="E127" s="117">
        <v>0</v>
      </c>
      <c r="F127" s="130" t="s">
        <v>168</v>
      </c>
      <c r="G127" s="131"/>
      <c r="H127" s="131"/>
      <c r="I127" s="131"/>
      <c r="J127" s="132"/>
      <c r="K127" s="128">
        <v>600000</v>
      </c>
      <c r="L127" s="120">
        <f t="shared" si="28"/>
        <v>3910000</v>
      </c>
      <c r="N127" s="110">
        <v>600000</v>
      </c>
      <c r="O127" s="110">
        <f t="shared" si="29"/>
        <v>0</v>
      </c>
    </row>
    <row r="128" spans="1:15" x14ac:dyDescent="0.25">
      <c r="A128" s="116"/>
      <c r="B128" s="116"/>
      <c r="C128" s="116"/>
      <c r="D128" s="116"/>
      <c r="E128" s="117">
        <v>0</v>
      </c>
      <c r="F128" s="130" t="s">
        <v>167</v>
      </c>
      <c r="G128" s="131"/>
      <c r="H128" s="131"/>
      <c r="I128" s="131"/>
      <c r="J128" s="132"/>
      <c r="K128" s="128">
        <v>730000</v>
      </c>
      <c r="L128" s="120">
        <f t="shared" si="28"/>
        <v>3180000</v>
      </c>
      <c r="N128" s="110">
        <v>730000</v>
      </c>
      <c r="O128" s="110">
        <f t="shared" si="29"/>
        <v>0</v>
      </c>
    </row>
    <row r="129" spans="1:15" x14ac:dyDescent="0.25">
      <c r="A129" s="116"/>
      <c r="B129" s="116"/>
      <c r="C129" s="116"/>
      <c r="D129" s="116"/>
      <c r="E129" s="117">
        <f>C129*D129</f>
        <v>0</v>
      </c>
      <c r="F129" s="130" t="s">
        <v>19</v>
      </c>
      <c r="G129" s="131"/>
      <c r="H129" s="131"/>
      <c r="I129" s="131"/>
      <c r="J129" s="132"/>
      <c r="K129" s="124">
        <f>L128</f>
        <v>3180000</v>
      </c>
      <c r="L129" s="120">
        <f t="shared" si="28"/>
        <v>0</v>
      </c>
      <c r="N129" s="110">
        <f>K129</f>
        <v>3180000</v>
      </c>
      <c r="O129" s="110">
        <f t="shared" si="29"/>
        <v>0</v>
      </c>
    </row>
    <row r="130" spans="1:15" x14ac:dyDescent="0.25">
      <c r="A130" s="133" t="s">
        <v>20</v>
      </c>
      <c r="B130" s="134"/>
      <c r="C130" s="134"/>
      <c r="D130" s="135"/>
      <c r="E130" s="136">
        <f>SUM(E113:E129)</f>
        <v>9290000</v>
      </c>
      <c r="F130" s="133" t="s">
        <v>20</v>
      </c>
      <c r="G130" s="134"/>
      <c r="H130" s="134"/>
      <c r="I130" s="134"/>
      <c r="J130" s="137"/>
      <c r="K130" s="138">
        <f>SUM(K123:K129)</f>
        <v>9290000</v>
      </c>
      <c r="L130" s="139" t="b">
        <f>K130=E130</f>
        <v>1</v>
      </c>
      <c r="N130" s="140">
        <f>SUM(N123:N129)</f>
        <v>6765000</v>
      </c>
      <c r="O130" s="140">
        <f>SUM(O123:O129)</f>
        <v>2525000</v>
      </c>
    </row>
    <row r="133" spans="1:15" x14ac:dyDescent="0.25">
      <c r="I133" s="1">
        <f>100+55+880+600</f>
        <v>1635</v>
      </c>
    </row>
  </sheetData>
  <mergeCells count="29">
    <mergeCell ref="A112:E112"/>
    <mergeCell ref="F112:K112"/>
    <mergeCell ref="F123:J123"/>
    <mergeCell ref="A90:L90"/>
    <mergeCell ref="A91:E91"/>
    <mergeCell ref="F91:K91"/>
    <mergeCell ref="F102:J102"/>
    <mergeCell ref="A111:L111"/>
    <mergeCell ref="F81:J81"/>
    <mergeCell ref="A69:L69"/>
    <mergeCell ref="A70:E70"/>
    <mergeCell ref="F70:K70"/>
    <mergeCell ref="A48:L48"/>
    <mergeCell ref="A49:E49"/>
    <mergeCell ref="F49:K49"/>
    <mergeCell ref="F60:J60"/>
    <mergeCell ref="A33:E33"/>
    <mergeCell ref="F33:K33"/>
    <mergeCell ref="F44:J44"/>
    <mergeCell ref="F26:J26"/>
    <mergeCell ref="F27:J27"/>
    <mergeCell ref="F28:J28"/>
    <mergeCell ref="A15:L15"/>
    <mergeCell ref="A32:L32"/>
    <mergeCell ref="A1:E1"/>
    <mergeCell ref="F1:K1"/>
    <mergeCell ref="F11:J11"/>
    <mergeCell ref="A16:E16"/>
    <mergeCell ref="F16:K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C1AB-C311-4C3F-AB4C-A980C158CE81}">
  <dimension ref="A1:S151"/>
  <sheetViews>
    <sheetView showGridLines="0" tabSelected="1" topLeftCell="A126" zoomScale="81" workbookViewId="0">
      <selection activeCell="Q150" sqref="Q150"/>
    </sheetView>
  </sheetViews>
  <sheetFormatPr defaultRowHeight="14" x14ac:dyDescent="0.3"/>
  <cols>
    <col min="1" max="5" width="15.296875" customWidth="1"/>
    <col min="6" max="6" width="16.69921875" customWidth="1"/>
    <col min="7" max="12" width="15.296875" customWidth="1"/>
    <col min="13" max="13" width="1.5" customWidth="1"/>
    <col min="14" max="15" width="12.09765625" customWidth="1"/>
    <col min="16" max="16" width="11.8984375" bestFit="1" customWidth="1"/>
    <col min="17" max="17" width="13.19921875" bestFit="1" customWidth="1"/>
    <col min="18" max="18" width="13.796875" bestFit="1" customWidth="1"/>
  </cols>
  <sheetData>
    <row r="1" spans="1:16" x14ac:dyDescent="0.3">
      <c r="A1" s="147" t="s">
        <v>171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"/>
      <c r="N1" s="110"/>
      <c r="O1" s="110"/>
    </row>
    <row r="2" spans="1:16" x14ac:dyDescent="0.3">
      <c r="A2" s="149" t="s">
        <v>16</v>
      </c>
      <c r="B2" s="149"/>
      <c r="C2" s="149"/>
      <c r="D2" s="149"/>
      <c r="E2" s="149"/>
      <c r="F2" s="150" t="s">
        <v>0</v>
      </c>
      <c r="G2" s="150"/>
      <c r="H2" s="150"/>
      <c r="I2" s="150"/>
      <c r="J2" s="150"/>
      <c r="K2" s="151"/>
      <c r="L2" s="114" t="s">
        <v>23</v>
      </c>
      <c r="M2" s="1"/>
      <c r="N2" s="115" t="s">
        <v>161</v>
      </c>
      <c r="O2" s="115" t="s">
        <v>23</v>
      </c>
    </row>
    <row r="3" spans="1:16" x14ac:dyDescent="0.3">
      <c r="A3" s="116" t="s">
        <v>169</v>
      </c>
      <c r="B3" s="116"/>
      <c r="C3" s="117">
        <v>2350000</v>
      </c>
      <c r="D3" s="118">
        <v>1</v>
      </c>
      <c r="E3" s="117">
        <f t="shared" ref="E3:E13" si="0">C3*D3</f>
        <v>2350000</v>
      </c>
      <c r="F3" s="116" t="s">
        <v>3</v>
      </c>
      <c r="G3" s="116" t="s">
        <v>24</v>
      </c>
      <c r="H3" s="119" t="s">
        <v>4</v>
      </c>
      <c r="I3" s="120">
        <v>50000</v>
      </c>
      <c r="J3" s="121">
        <v>8</v>
      </c>
      <c r="K3" s="122">
        <f>I3*J3</f>
        <v>400000</v>
      </c>
      <c r="L3" s="123"/>
      <c r="M3" s="1"/>
      <c r="N3" s="110">
        <f>108000+34000+26000+48000+15000+18000+34000+20000</f>
        <v>303000</v>
      </c>
      <c r="O3" s="110">
        <f t="shared" ref="O3:O12" si="1">K3-N3</f>
        <v>97000</v>
      </c>
    </row>
    <row r="4" spans="1:16" x14ac:dyDescent="0.3">
      <c r="A4" s="116" t="s">
        <v>88</v>
      </c>
      <c r="B4" s="116"/>
      <c r="C4" s="117">
        <v>830000</v>
      </c>
      <c r="D4" s="118">
        <v>1</v>
      </c>
      <c r="E4" s="117">
        <f t="shared" si="0"/>
        <v>830000</v>
      </c>
      <c r="F4" s="116" t="s">
        <v>5</v>
      </c>
      <c r="G4" s="116" t="s">
        <v>24</v>
      </c>
      <c r="H4" s="116" t="s">
        <v>6</v>
      </c>
      <c r="I4" s="117">
        <v>40000</v>
      </c>
      <c r="J4" s="118">
        <v>2</v>
      </c>
      <c r="K4" s="124">
        <f t="shared" ref="K4:K12" si="2">I4*J4</f>
        <v>80000</v>
      </c>
      <c r="L4" s="125"/>
      <c r="M4" s="1"/>
      <c r="N4" s="110">
        <v>30000</v>
      </c>
      <c r="O4" s="110">
        <f t="shared" si="1"/>
        <v>50000</v>
      </c>
    </row>
    <row r="5" spans="1:16" x14ac:dyDescent="0.3">
      <c r="A5" s="116" t="s">
        <v>170</v>
      </c>
      <c r="B5" s="116"/>
      <c r="C5" s="142">
        <v>4350000</v>
      </c>
      <c r="D5" s="116">
        <v>1</v>
      </c>
      <c r="E5" s="117">
        <f t="shared" si="0"/>
        <v>4350000</v>
      </c>
      <c r="F5" s="116" t="s">
        <v>152</v>
      </c>
      <c r="G5" s="116" t="s">
        <v>24</v>
      </c>
      <c r="H5" s="116" t="s">
        <v>6</v>
      </c>
      <c r="I5" s="117">
        <v>10000</v>
      </c>
      <c r="J5" s="118">
        <v>2</v>
      </c>
      <c r="K5" s="124">
        <f t="shared" si="2"/>
        <v>20000</v>
      </c>
      <c r="L5" s="125"/>
      <c r="M5" s="1"/>
      <c r="N5" s="110">
        <f>35000</f>
        <v>35000</v>
      </c>
      <c r="O5" s="110">
        <f t="shared" si="1"/>
        <v>-15000</v>
      </c>
    </row>
    <row r="6" spans="1:16" x14ac:dyDescent="0.3">
      <c r="A6" s="116"/>
      <c r="B6" s="116"/>
      <c r="C6" s="117"/>
      <c r="D6" s="118"/>
      <c r="E6" s="117">
        <f t="shared" si="0"/>
        <v>0</v>
      </c>
      <c r="F6" s="116" t="s">
        <v>9</v>
      </c>
      <c r="G6" s="116" t="s">
        <v>24</v>
      </c>
      <c r="H6" s="116" t="s">
        <v>2</v>
      </c>
      <c r="I6" s="117">
        <v>75000</v>
      </c>
      <c r="J6" s="118">
        <v>1</v>
      </c>
      <c r="K6" s="124">
        <f t="shared" si="2"/>
        <v>75000</v>
      </c>
      <c r="L6" s="125"/>
      <c r="M6" s="1"/>
      <c r="N6" s="110">
        <v>75000</v>
      </c>
      <c r="O6" s="110">
        <f t="shared" si="1"/>
        <v>0</v>
      </c>
    </row>
    <row r="7" spans="1:16" x14ac:dyDescent="0.3">
      <c r="A7" s="116"/>
      <c r="B7" s="116"/>
      <c r="C7" s="116"/>
      <c r="D7" s="116"/>
      <c r="E7" s="117">
        <f t="shared" si="0"/>
        <v>0</v>
      </c>
      <c r="F7" s="116" t="s">
        <v>12</v>
      </c>
      <c r="G7" s="116" t="s">
        <v>25</v>
      </c>
      <c r="H7" s="116" t="s">
        <v>2</v>
      </c>
      <c r="I7" s="117">
        <v>250000</v>
      </c>
      <c r="J7" s="118">
        <v>1</v>
      </c>
      <c r="K7" s="124">
        <f t="shared" si="2"/>
        <v>250000</v>
      </c>
      <c r="L7" s="125"/>
      <c r="M7" s="1"/>
      <c r="N7" s="110">
        <f>190000+40000+20000</f>
        <v>250000</v>
      </c>
      <c r="O7" s="110">
        <f t="shared" si="1"/>
        <v>0</v>
      </c>
    </row>
    <row r="8" spans="1:16" x14ac:dyDescent="0.3">
      <c r="A8" s="116"/>
      <c r="B8" s="116"/>
      <c r="C8" s="116"/>
      <c r="D8" s="116"/>
      <c r="E8" s="117">
        <f t="shared" si="0"/>
        <v>0</v>
      </c>
      <c r="F8" s="116" t="s">
        <v>13</v>
      </c>
      <c r="G8" s="116" t="s">
        <v>25</v>
      </c>
      <c r="H8" s="116" t="s">
        <v>2</v>
      </c>
      <c r="I8" s="117">
        <v>35000</v>
      </c>
      <c r="J8" s="118">
        <v>1</v>
      </c>
      <c r="K8" s="124">
        <f t="shared" si="2"/>
        <v>35000</v>
      </c>
      <c r="L8" s="125"/>
      <c r="M8" s="1"/>
      <c r="N8" s="110">
        <v>35000</v>
      </c>
      <c r="O8" s="110">
        <f t="shared" si="1"/>
        <v>0</v>
      </c>
    </row>
    <row r="9" spans="1:16" x14ac:dyDescent="0.3">
      <c r="A9" s="116"/>
      <c r="B9" s="116"/>
      <c r="C9" s="116"/>
      <c r="D9" s="116"/>
      <c r="E9" s="117">
        <f t="shared" si="0"/>
        <v>0</v>
      </c>
      <c r="F9" s="116" t="s">
        <v>1</v>
      </c>
      <c r="G9" s="116" t="s">
        <v>24</v>
      </c>
      <c r="H9" s="116" t="s">
        <v>2</v>
      </c>
      <c r="I9" s="117">
        <v>1500000</v>
      </c>
      <c r="J9" s="118">
        <v>1</v>
      </c>
      <c r="K9" s="124">
        <f t="shared" si="2"/>
        <v>1500000</v>
      </c>
      <c r="L9" s="125"/>
      <c r="M9" s="1"/>
      <c r="N9" s="110">
        <f>1300000+103000</f>
        <v>1403000</v>
      </c>
      <c r="O9" s="110">
        <f t="shared" si="1"/>
        <v>97000</v>
      </c>
    </row>
    <row r="10" spans="1:16" x14ac:dyDescent="0.3">
      <c r="A10" s="116"/>
      <c r="B10" s="116"/>
      <c r="C10" s="116"/>
      <c r="D10" s="116"/>
      <c r="E10" s="117">
        <f t="shared" si="0"/>
        <v>0</v>
      </c>
      <c r="F10" s="116" t="s">
        <v>10</v>
      </c>
      <c r="G10" s="116" t="s">
        <v>14</v>
      </c>
      <c r="H10" s="116" t="s">
        <v>2</v>
      </c>
      <c r="I10" s="117">
        <v>0</v>
      </c>
      <c r="J10" s="118">
        <v>1</v>
      </c>
      <c r="K10" s="124">
        <f t="shared" si="2"/>
        <v>0</v>
      </c>
      <c r="L10" s="125"/>
      <c r="M10" s="1"/>
      <c r="N10" s="110"/>
      <c r="O10" s="110">
        <f t="shared" si="1"/>
        <v>0</v>
      </c>
    </row>
    <row r="11" spans="1:16" x14ac:dyDescent="0.3">
      <c r="A11" s="116"/>
      <c r="B11" s="116"/>
      <c r="C11" s="116"/>
      <c r="D11" s="116"/>
      <c r="E11" s="117">
        <f t="shared" si="0"/>
        <v>0</v>
      </c>
      <c r="F11" s="116" t="s">
        <v>49</v>
      </c>
      <c r="G11" s="116" t="s">
        <v>14</v>
      </c>
      <c r="H11" s="116" t="s">
        <v>6</v>
      </c>
      <c r="I11" s="117">
        <v>150000</v>
      </c>
      <c r="J11" s="118">
        <v>2</v>
      </c>
      <c r="K11" s="124">
        <f t="shared" si="2"/>
        <v>300000</v>
      </c>
      <c r="L11" s="125"/>
      <c r="M11" s="1"/>
      <c r="N11" s="110">
        <f>70000+22000+28000+47000+50000</f>
        <v>217000</v>
      </c>
      <c r="O11" s="110">
        <f t="shared" si="1"/>
        <v>83000</v>
      </c>
    </row>
    <row r="12" spans="1:16" x14ac:dyDescent="0.3">
      <c r="A12" s="116"/>
      <c r="B12" s="116"/>
      <c r="C12" s="116"/>
      <c r="D12" s="116"/>
      <c r="E12" s="117">
        <f t="shared" si="0"/>
        <v>0</v>
      </c>
      <c r="F12" s="126" t="s">
        <v>15</v>
      </c>
      <c r="G12" s="126" t="s">
        <v>24</v>
      </c>
      <c r="H12" s="126" t="s">
        <v>2</v>
      </c>
      <c r="I12" s="123">
        <v>400000</v>
      </c>
      <c r="J12" s="127">
        <v>1</v>
      </c>
      <c r="K12" s="124">
        <f t="shared" si="2"/>
        <v>400000</v>
      </c>
      <c r="L12" s="125"/>
      <c r="M12" s="1"/>
      <c r="N12" s="110">
        <f>100000+64000+20000</f>
        <v>184000</v>
      </c>
      <c r="O12" s="110">
        <f t="shared" si="1"/>
        <v>216000</v>
      </c>
    </row>
    <row r="13" spans="1:16" x14ac:dyDescent="0.3">
      <c r="A13" s="116"/>
      <c r="B13" s="116"/>
      <c r="C13" s="116"/>
      <c r="D13" s="116"/>
      <c r="E13" s="117">
        <f t="shared" si="0"/>
        <v>0</v>
      </c>
      <c r="F13" s="152" t="s">
        <v>26</v>
      </c>
      <c r="G13" s="153"/>
      <c r="H13" s="153"/>
      <c r="I13" s="153"/>
      <c r="J13" s="154"/>
      <c r="K13" s="128">
        <f>SUM(K3:K12)</f>
        <v>3060000</v>
      </c>
      <c r="L13" s="120">
        <f>E20-K13</f>
        <v>4470000</v>
      </c>
      <c r="M13" s="1"/>
      <c r="N13" s="129">
        <f>SUM(N3:N12)</f>
        <v>2532000</v>
      </c>
      <c r="O13" s="129">
        <f>SUM(O3:O12)</f>
        <v>528000</v>
      </c>
    </row>
    <row r="14" spans="1:16" x14ac:dyDescent="0.3">
      <c r="A14" s="116"/>
      <c r="B14" s="116"/>
      <c r="C14" s="116"/>
      <c r="D14" s="116"/>
      <c r="E14" s="117">
        <v>0</v>
      </c>
      <c r="F14" s="25" t="s">
        <v>172</v>
      </c>
      <c r="G14" s="131"/>
      <c r="H14" s="131"/>
      <c r="I14" s="131"/>
      <c r="J14" s="132"/>
      <c r="K14" s="128">
        <v>270000</v>
      </c>
      <c r="L14" s="120">
        <f t="shared" ref="L14:L19" si="3">L13-K14</f>
        <v>4200000</v>
      </c>
      <c r="M14" s="1"/>
      <c r="N14" s="110">
        <v>270000</v>
      </c>
      <c r="O14" s="110">
        <f t="shared" ref="O14:O19" si="4">K14-N14</f>
        <v>0</v>
      </c>
      <c r="P14" s="110"/>
    </row>
    <row r="15" spans="1:16" x14ac:dyDescent="0.3">
      <c r="A15" s="116"/>
      <c r="B15" s="116"/>
      <c r="C15" s="116"/>
      <c r="D15" s="116"/>
      <c r="E15" s="117">
        <v>0</v>
      </c>
      <c r="F15" s="25" t="s">
        <v>173</v>
      </c>
      <c r="G15" s="131"/>
      <c r="H15" s="131"/>
      <c r="I15" s="131"/>
      <c r="J15" s="132"/>
      <c r="K15" s="128">
        <v>1000000</v>
      </c>
      <c r="L15" s="120">
        <f t="shared" si="3"/>
        <v>3200000</v>
      </c>
      <c r="M15" s="1"/>
      <c r="N15" s="110">
        <f>270000+730000</f>
        <v>1000000</v>
      </c>
      <c r="O15" s="110">
        <f t="shared" si="4"/>
        <v>0</v>
      </c>
      <c r="P15" s="110"/>
    </row>
    <row r="16" spans="1:16" x14ac:dyDescent="0.3">
      <c r="A16" s="116"/>
      <c r="B16" s="116"/>
      <c r="C16" s="116"/>
      <c r="D16" s="116"/>
      <c r="E16" s="117">
        <v>0</v>
      </c>
      <c r="F16" s="130"/>
      <c r="G16" s="131"/>
      <c r="H16" s="131"/>
      <c r="I16" s="131"/>
      <c r="J16" s="132"/>
      <c r="K16" s="128">
        <v>0</v>
      </c>
      <c r="L16" s="120">
        <f t="shared" si="3"/>
        <v>3200000</v>
      </c>
      <c r="M16" s="1"/>
      <c r="N16" s="110"/>
      <c r="O16" s="110">
        <f t="shared" si="4"/>
        <v>0</v>
      </c>
      <c r="P16" s="110"/>
    </row>
    <row r="17" spans="1:17" x14ac:dyDescent="0.3">
      <c r="A17" s="116"/>
      <c r="B17" s="116"/>
      <c r="C17" s="116"/>
      <c r="D17" s="116"/>
      <c r="E17" s="117">
        <v>0</v>
      </c>
      <c r="F17" s="130"/>
      <c r="G17" s="131"/>
      <c r="H17" s="131"/>
      <c r="I17" s="131"/>
      <c r="J17" s="132"/>
      <c r="K17" s="128">
        <v>0</v>
      </c>
      <c r="L17" s="120">
        <f t="shared" si="3"/>
        <v>3200000</v>
      </c>
      <c r="M17" s="1"/>
      <c r="N17" s="110"/>
      <c r="O17" s="110">
        <f t="shared" si="4"/>
        <v>0</v>
      </c>
      <c r="P17" s="110"/>
    </row>
    <row r="18" spans="1:17" x14ac:dyDescent="0.3">
      <c r="A18" s="116"/>
      <c r="B18" s="116"/>
      <c r="C18" s="116"/>
      <c r="D18" s="116"/>
      <c r="E18" s="117">
        <v>0</v>
      </c>
      <c r="F18" s="130" t="s">
        <v>167</v>
      </c>
      <c r="G18" s="131"/>
      <c r="H18" s="131"/>
      <c r="I18" s="131"/>
      <c r="J18" s="132"/>
      <c r="K18" s="128">
        <v>0</v>
      </c>
      <c r="L18" s="120">
        <f t="shared" si="3"/>
        <v>3200000</v>
      </c>
      <c r="M18" s="1"/>
      <c r="N18" s="110"/>
      <c r="O18" s="110">
        <f t="shared" si="4"/>
        <v>0</v>
      </c>
      <c r="P18" s="110">
        <v>491000</v>
      </c>
    </row>
    <row r="19" spans="1:17" x14ac:dyDescent="0.3">
      <c r="A19" s="116"/>
      <c r="B19" s="116"/>
      <c r="C19" s="116"/>
      <c r="D19" s="116"/>
      <c r="E19" s="117">
        <f>C19*D19</f>
        <v>0</v>
      </c>
      <c r="F19" s="130" t="s">
        <v>19</v>
      </c>
      <c r="G19" s="131"/>
      <c r="H19" s="131"/>
      <c r="I19" s="131"/>
      <c r="J19" s="132"/>
      <c r="K19" s="124">
        <f>L18</f>
        <v>3200000</v>
      </c>
      <c r="L19" s="120">
        <f t="shared" si="3"/>
        <v>0</v>
      </c>
      <c r="M19" s="1"/>
      <c r="N19" s="110">
        <v>3200000</v>
      </c>
      <c r="O19" s="110">
        <f t="shared" si="4"/>
        <v>0</v>
      </c>
      <c r="P19" s="110">
        <v>104000</v>
      </c>
    </row>
    <row r="20" spans="1:17" x14ac:dyDescent="0.3">
      <c r="A20" s="133" t="s">
        <v>20</v>
      </c>
      <c r="B20" s="134"/>
      <c r="C20" s="134"/>
      <c r="D20" s="135"/>
      <c r="E20" s="136">
        <f>SUM(E3:E19)</f>
        <v>7530000</v>
      </c>
      <c r="F20" s="133" t="s">
        <v>20</v>
      </c>
      <c r="G20" s="134"/>
      <c r="H20" s="134"/>
      <c r="I20" s="134"/>
      <c r="J20" s="137"/>
      <c r="K20" s="138">
        <f>SUM(K13:K19)</f>
        <v>7530000</v>
      </c>
      <c r="L20" s="139" t="b">
        <f>K20=E20</f>
        <v>1</v>
      </c>
      <c r="M20" s="1"/>
      <c r="N20" s="140">
        <f>SUM(N13:N19)</f>
        <v>7002000</v>
      </c>
      <c r="O20" s="140">
        <f>SUM(O13:O19)</f>
        <v>528000</v>
      </c>
      <c r="P20" s="140">
        <f>SUM(P13:P19)</f>
        <v>595000</v>
      </c>
      <c r="Q20" s="79">
        <f>O20-P20</f>
        <v>-67000</v>
      </c>
    </row>
    <row r="22" spans="1:17" x14ac:dyDescent="0.3">
      <c r="A22" s="147" t="s">
        <v>174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"/>
      <c r="N22" s="110"/>
      <c r="O22" s="110"/>
    </row>
    <row r="23" spans="1:17" x14ac:dyDescent="0.3">
      <c r="A23" s="149" t="s">
        <v>16</v>
      </c>
      <c r="B23" s="149"/>
      <c r="C23" s="149"/>
      <c r="D23" s="149"/>
      <c r="E23" s="149"/>
      <c r="F23" s="150" t="s">
        <v>0</v>
      </c>
      <c r="G23" s="150"/>
      <c r="H23" s="150"/>
      <c r="I23" s="150"/>
      <c r="J23" s="150"/>
      <c r="K23" s="151"/>
      <c r="L23" s="114" t="s">
        <v>23</v>
      </c>
      <c r="M23" s="1"/>
      <c r="N23" s="115" t="s">
        <v>161</v>
      </c>
      <c r="O23" s="115" t="s">
        <v>23</v>
      </c>
    </row>
    <row r="24" spans="1:17" x14ac:dyDescent="0.3">
      <c r="A24" s="6" t="s">
        <v>17</v>
      </c>
      <c r="B24" s="6" t="s">
        <v>2</v>
      </c>
      <c r="C24" s="117">
        <v>4400000</v>
      </c>
      <c r="D24" s="118">
        <v>1</v>
      </c>
      <c r="E24" s="117">
        <f t="shared" ref="E24:E34" si="5">C24*D24</f>
        <v>4400000</v>
      </c>
      <c r="F24" s="116" t="s">
        <v>3</v>
      </c>
      <c r="G24" s="116" t="s">
        <v>24</v>
      </c>
      <c r="H24" s="119" t="s">
        <v>4</v>
      </c>
      <c r="I24" s="120">
        <v>50000</v>
      </c>
      <c r="J24" s="121">
        <v>31</v>
      </c>
      <c r="K24" s="122">
        <f t="shared" ref="K24:K33" si="6">I24*J24</f>
        <v>1550000</v>
      </c>
      <c r="L24" s="123"/>
      <c r="M24" s="1"/>
      <c r="N24" s="110"/>
      <c r="O24" s="110">
        <f t="shared" ref="O24:O33" si="7">K24-N24</f>
        <v>1550000</v>
      </c>
    </row>
    <row r="25" spans="1:17" x14ac:dyDescent="0.3">
      <c r="A25" s="116"/>
      <c r="B25" s="116"/>
      <c r="C25" s="117"/>
      <c r="D25" s="118"/>
      <c r="E25" s="117">
        <f t="shared" si="5"/>
        <v>0</v>
      </c>
      <c r="F25" s="116" t="s">
        <v>5</v>
      </c>
      <c r="G25" s="116" t="s">
        <v>24</v>
      </c>
      <c r="H25" s="116" t="s">
        <v>6</v>
      </c>
      <c r="I25" s="117">
        <v>35000</v>
      </c>
      <c r="J25" s="118">
        <v>4</v>
      </c>
      <c r="K25" s="124">
        <f t="shared" si="6"/>
        <v>140000</v>
      </c>
      <c r="L25" s="125"/>
      <c r="M25" s="1"/>
      <c r="N25" s="110"/>
      <c r="O25" s="110">
        <f t="shared" si="7"/>
        <v>140000</v>
      </c>
    </row>
    <row r="26" spans="1:17" x14ac:dyDescent="0.3">
      <c r="A26" s="116"/>
      <c r="B26" s="116"/>
      <c r="C26" s="142"/>
      <c r="D26" s="116"/>
      <c r="E26" s="117">
        <f t="shared" si="5"/>
        <v>0</v>
      </c>
      <c r="F26" s="116" t="s">
        <v>152</v>
      </c>
      <c r="G26" s="116" t="s">
        <v>24</v>
      </c>
      <c r="H26" s="116" t="s">
        <v>6</v>
      </c>
      <c r="I26" s="117">
        <v>10000</v>
      </c>
      <c r="J26" s="118">
        <v>4</v>
      </c>
      <c r="K26" s="124">
        <f t="shared" si="6"/>
        <v>40000</v>
      </c>
      <c r="L26" s="125"/>
      <c r="M26" s="1"/>
      <c r="N26" s="110"/>
      <c r="O26" s="110">
        <f t="shared" si="7"/>
        <v>40000</v>
      </c>
    </row>
    <row r="27" spans="1:17" x14ac:dyDescent="0.3">
      <c r="A27" s="116"/>
      <c r="B27" s="116"/>
      <c r="C27" s="117"/>
      <c r="D27" s="118"/>
      <c r="E27" s="117">
        <f t="shared" si="5"/>
        <v>0</v>
      </c>
      <c r="F27" s="116" t="s">
        <v>9</v>
      </c>
      <c r="G27" s="116" t="s">
        <v>24</v>
      </c>
      <c r="H27" s="116" t="s">
        <v>2</v>
      </c>
      <c r="I27" s="117">
        <v>75000</v>
      </c>
      <c r="J27" s="118">
        <v>1</v>
      </c>
      <c r="K27" s="124">
        <f t="shared" si="6"/>
        <v>75000</v>
      </c>
      <c r="L27" s="125"/>
      <c r="M27" s="1"/>
      <c r="N27" s="110"/>
      <c r="O27" s="110">
        <f t="shared" si="7"/>
        <v>75000</v>
      </c>
    </row>
    <row r="28" spans="1:17" x14ac:dyDescent="0.3">
      <c r="A28" s="116"/>
      <c r="B28" s="116"/>
      <c r="C28" s="116"/>
      <c r="D28" s="116"/>
      <c r="E28" s="117">
        <f t="shared" si="5"/>
        <v>0</v>
      </c>
      <c r="F28" s="116" t="s">
        <v>12</v>
      </c>
      <c r="G28" s="116" t="s">
        <v>25</v>
      </c>
      <c r="H28" s="116" t="s">
        <v>2</v>
      </c>
      <c r="I28" s="117">
        <v>200000</v>
      </c>
      <c r="J28" s="118">
        <v>1</v>
      </c>
      <c r="K28" s="124">
        <f t="shared" si="6"/>
        <v>200000</v>
      </c>
      <c r="L28" s="125"/>
      <c r="M28" s="1"/>
      <c r="N28" s="110"/>
      <c r="O28" s="110">
        <f t="shared" si="7"/>
        <v>200000</v>
      </c>
    </row>
    <row r="29" spans="1:17" x14ac:dyDescent="0.3">
      <c r="A29" s="116"/>
      <c r="B29" s="116"/>
      <c r="C29" s="116"/>
      <c r="D29" s="116"/>
      <c r="E29" s="117">
        <f t="shared" si="5"/>
        <v>0</v>
      </c>
      <c r="F29" s="116" t="s">
        <v>13</v>
      </c>
      <c r="G29" s="116" t="s">
        <v>25</v>
      </c>
      <c r="H29" s="116" t="s">
        <v>2</v>
      </c>
      <c r="I29" s="117">
        <v>40000</v>
      </c>
      <c r="J29" s="118">
        <v>1</v>
      </c>
      <c r="K29" s="124">
        <f t="shared" si="6"/>
        <v>40000</v>
      </c>
      <c r="L29" s="125"/>
      <c r="M29" s="1"/>
      <c r="N29" s="110"/>
      <c r="O29" s="110">
        <f t="shared" si="7"/>
        <v>40000</v>
      </c>
    </row>
    <row r="30" spans="1:17" x14ac:dyDescent="0.3">
      <c r="A30" s="116"/>
      <c r="B30" s="116"/>
      <c r="C30" s="116"/>
      <c r="D30" s="116"/>
      <c r="E30" s="117">
        <f t="shared" si="5"/>
        <v>0</v>
      </c>
      <c r="F30" s="116" t="s">
        <v>1</v>
      </c>
      <c r="G30" s="116" t="s">
        <v>24</v>
      </c>
      <c r="H30" s="116" t="s">
        <v>2</v>
      </c>
      <c r="I30" s="117">
        <f>875000+300000</f>
        <v>1175000</v>
      </c>
      <c r="J30" s="118">
        <v>1</v>
      </c>
      <c r="K30" s="124">
        <f t="shared" si="6"/>
        <v>1175000</v>
      </c>
      <c r="L30" s="125"/>
      <c r="M30" s="1"/>
      <c r="N30" s="110"/>
      <c r="O30" s="110">
        <f t="shared" si="7"/>
        <v>1175000</v>
      </c>
    </row>
    <row r="31" spans="1:17" x14ac:dyDescent="0.3">
      <c r="A31" s="116"/>
      <c r="B31" s="116"/>
      <c r="C31" s="116"/>
      <c r="D31" s="116"/>
      <c r="E31" s="117">
        <f t="shared" si="5"/>
        <v>0</v>
      </c>
      <c r="F31" s="116" t="s">
        <v>10</v>
      </c>
      <c r="G31" s="116" t="s">
        <v>14</v>
      </c>
      <c r="H31" s="116" t="s">
        <v>2</v>
      </c>
      <c r="I31" s="117">
        <v>0</v>
      </c>
      <c r="J31" s="118">
        <v>1</v>
      </c>
      <c r="K31" s="124">
        <f t="shared" si="6"/>
        <v>0</v>
      </c>
      <c r="L31" s="125"/>
      <c r="M31" s="1"/>
      <c r="N31" s="110"/>
      <c r="O31" s="110">
        <f t="shared" si="7"/>
        <v>0</v>
      </c>
    </row>
    <row r="32" spans="1:17" x14ac:dyDescent="0.3">
      <c r="A32" s="116"/>
      <c r="B32" s="116"/>
      <c r="C32" s="116"/>
      <c r="D32" s="116"/>
      <c r="E32" s="117">
        <f t="shared" si="5"/>
        <v>0</v>
      </c>
      <c r="F32" s="116" t="s">
        <v>49</v>
      </c>
      <c r="G32" s="116" t="s">
        <v>14</v>
      </c>
      <c r="H32" s="116" t="s">
        <v>6</v>
      </c>
      <c r="I32" s="117">
        <v>75000</v>
      </c>
      <c r="J32" s="118">
        <v>4</v>
      </c>
      <c r="K32" s="124">
        <f t="shared" si="6"/>
        <v>300000</v>
      </c>
      <c r="L32" s="125"/>
      <c r="M32" s="1"/>
      <c r="N32" s="110"/>
      <c r="O32" s="110">
        <f t="shared" si="7"/>
        <v>300000</v>
      </c>
    </row>
    <row r="33" spans="1:15" x14ac:dyDescent="0.3">
      <c r="A33" s="116"/>
      <c r="B33" s="116"/>
      <c r="C33" s="116"/>
      <c r="D33" s="116"/>
      <c r="E33" s="117">
        <f t="shared" si="5"/>
        <v>0</v>
      </c>
      <c r="F33" s="126" t="s">
        <v>15</v>
      </c>
      <c r="G33" s="126" t="s">
        <v>24</v>
      </c>
      <c r="H33" s="126" t="s">
        <v>2</v>
      </c>
      <c r="I33" s="123">
        <v>300000</v>
      </c>
      <c r="J33" s="127">
        <v>1</v>
      </c>
      <c r="K33" s="124">
        <f t="shared" si="6"/>
        <v>300000</v>
      </c>
      <c r="L33" s="125"/>
      <c r="M33" s="1"/>
      <c r="N33" s="110"/>
      <c r="O33" s="110">
        <f t="shared" si="7"/>
        <v>300000</v>
      </c>
    </row>
    <row r="34" spans="1:15" x14ac:dyDescent="0.3">
      <c r="A34" s="116"/>
      <c r="B34" s="116"/>
      <c r="C34" s="116"/>
      <c r="D34" s="116"/>
      <c r="E34" s="117">
        <f t="shared" si="5"/>
        <v>0</v>
      </c>
      <c r="F34" s="152" t="s">
        <v>26</v>
      </c>
      <c r="G34" s="153"/>
      <c r="H34" s="153"/>
      <c r="I34" s="153"/>
      <c r="J34" s="154"/>
      <c r="K34" s="128">
        <f>SUM(K24:K33)</f>
        <v>3820000</v>
      </c>
      <c r="L34" s="120">
        <f>E41-K34</f>
        <v>580000</v>
      </c>
      <c r="M34" s="1"/>
      <c r="N34" s="129">
        <f>SUM(N24:N33)</f>
        <v>0</v>
      </c>
      <c r="O34" s="129">
        <f>SUM(O24:O33)</f>
        <v>3820000</v>
      </c>
    </row>
    <row r="35" spans="1:15" x14ac:dyDescent="0.3">
      <c r="A35" s="116"/>
      <c r="B35" s="116"/>
      <c r="C35" s="116"/>
      <c r="D35" s="116"/>
      <c r="E35" s="117">
        <v>0</v>
      </c>
      <c r="F35" s="25" t="s">
        <v>176</v>
      </c>
      <c r="G35" s="131"/>
      <c r="H35" s="131"/>
      <c r="I35" s="131"/>
      <c r="J35" s="132"/>
      <c r="K35" s="128">
        <v>80000</v>
      </c>
      <c r="L35" s="120">
        <f t="shared" ref="L35:L40" si="8">L34-K35</f>
        <v>500000</v>
      </c>
      <c r="M35" s="1"/>
      <c r="N35" s="110"/>
      <c r="O35" s="110">
        <f t="shared" ref="O35:O40" si="9">K35-N35</f>
        <v>80000</v>
      </c>
    </row>
    <row r="36" spans="1:15" x14ac:dyDescent="0.3">
      <c r="A36" s="116"/>
      <c r="B36" s="116"/>
      <c r="C36" s="116"/>
      <c r="D36" s="116"/>
      <c r="E36" s="117">
        <v>0</v>
      </c>
      <c r="F36" s="25" t="s">
        <v>175</v>
      </c>
      <c r="G36" s="131"/>
      <c r="H36" s="131"/>
      <c r="I36" s="131"/>
      <c r="J36" s="132"/>
      <c r="K36" s="128">
        <v>0</v>
      </c>
      <c r="L36" s="120">
        <f t="shared" si="8"/>
        <v>500000</v>
      </c>
      <c r="M36" s="1"/>
      <c r="N36" s="110"/>
      <c r="O36" s="110">
        <f t="shared" si="9"/>
        <v>0</v>
      </c>
    </row>
    <row r="37" spans="1:15" x14ac:dyDescent="0.3">
      <c r="A37" s="116"/>
      <c r="B37" s="116"/>
      <c r="C37" s="116"/>
      <c r="D37" s="116"/>
      <c r="E37" s="117">
        <v>0</v>
      </c>
      <c r="F37" s="130" t="s">
        <v>155</v>
      </c>
      <c r="G37" s="131"/>
      <c r="H37" s="131"/>
      <c r="I37" s="131"/>
      <c r="J37" s="132"/>
      <c r="K37" s="128">
        <v>0</v>
      </c>
      <c r="L37" s="120">
        <f t="shared" si="8"/>
        <v>500000</v>
      </c>
      <c r="M37" s="1"/>
      <c r="N37" s="110"/>
      <c r="O37" s="110">
        <f t="shared" si="9"/>
        <v>0</v>
      </c>
    </row>
    <row r="38" spans="1:15" x14ac:dyDescent="0.3">
      <c r="A38" s="116"/>
      <c r="B38" s="116"/>
      <c r="C38" s="116"/>
      <c r="D38" s="116"/>
      <c r="E38" s="117">
        <v>0</v>
      </c>
      <c r="F38" s="130" t="s">
        <v>168</v>
      </c>
      <c r="G38" s="131"/>
      <c r="H38" s="131"/>
      <c r="I38" s="131"/>
      <c r="J38" s="132"/>
      <c r="K38" s="128">
        <v>0</v>
      </c>
      <c r="L38" s="120">
        <f t="shared" si="8"/>
        <v>500000</v>
      </c>
      <c r="M38" s="1"/>
      <c r="N38" s="110"/>
      <c r="O38" s="110">
        <f t="shared" si="9"/>
        <v>0</v>
      </c>
    </row>
    <row r="39" spans="1:15" x14ac:dyDescent="0.3">
      <c r="A39" s="116"/>
      <c r="B39" s="116"/>
      <c r="C39" s="116"/>
      <c r="D39" s="116"/>
      <c r="E39" s="117">
        <v>0</v>
      </c>
      <c r="F39" s="130" t="s">
        <v>167</v>
      </c>
      <c r="G39" s="131"/>
      <c r="H39" s="131"/>
      <c r="I39" s="131"/>
      <c r="J39" s="132"/>
      <c r="K39" s="128">
        <v>0</v>
      </c>
      <c r="L39" s="120">
        <f t="shared" si="8"/>
        <v>500000</v>
      </c>
      <c r="M39" s="1"/>
      <c r="N39" s="110"/>
      <c r="O39" s="110">
        <f t="shared" si="9"/>
        <v>0</v>
      </c>
    </row>
    <row r="40" spans="1:15" x14ac:dyDescent="0.3">
      <c r="A40" s="116"/>
      <c r="B40" s="116"/>
      <c r="C40" s="116"/>
      <c r="D40" s="116"/>
      <c r="E40" s="117">
        <f>C40*D40</f>
        <v>0</v>
      </c>
      <c r="F40" s="130" t="s">
        <v>19</v>
      </c>
      <c r="G40" s="131"/>
      <c r="H40" s="131"/>
      <c r="I40" s="131"/>
      <c r="J40" s="132"/>
      <c r="K40" s="124">
        <f>L39</f>
        <v>500000</v>
      </c>
      <c r="L40" s="120">
        <f t="shared" si="8"/>
        <v>0</v>
      </c>
      <c r="M40" s="1"/>
      <c r="N40" s="110"/>
      <c r="O40" s="110">
        <f t="shared" si="9"/>
        <v>500000</v>
      </c>
    </row>
    <row r="41" spans="1:15" x14ac:dyDescent="0.3">
      <c r="A41" s="133" t="s">
        <v>20</v>
      </c>
      <c r="B41" s="134"/>
      <c r="C41" s="134"/>
      <c r="D41" s="135"/>
      <c r="E41" s="136">
        <f>SUM(E24:E40)</f>
        <v>4400000</v>
      </c>
      <c r="F41" s="133" t="s">
        <v>20</v>
      </c>
      <c r="G41" s="134"/>
      <c r="H41" s="134"/>
      <c r="I41" s="134"/>
      <c r="J41" s="137"/>
      <c r="K41" s="138">
        <f>SUM(K34:K40)</f>
        <v>4400000</v>
      </c>
      <c r="L41" s="139" t="b">
        <f>K41=E41</f>
        <v>1</v>
      </c>
      <c r="M41" s="1"/>
      <c r="N41" s="140">
        <f>SUM(N34:N40)</f>
        <v>0</v>
      </c>
      <c r="O41" s="140">
        <f>SUM(O34:O40)</f>
        <v>4400000</v>
      </c>
    </row>
    <row r="43" spans="1:15" x14ac:dyDescent="0.3">
      <c r="A43" s="147" t="s">
        <v>147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"/>
      <c r="N43" s="110"/>
      <c r="O43" s="110"/>
    </row>
    <row r="44" spans="1:15" x14ac:dyDescent="0.3">
      <c r="A44" s="149" t="s">
        <v>16</v>
      </c>
      <c r="B44" s="149"/>
      <c r="C44" s="149"/>
      <c r="D44" s="149"/>
      <c r="E44" s="149"/>
      <c r="F44" s="150" t="s">
        <v>0</v>
      </c>
      <c r="G44" s="150"/>
      <c r="H44" s="150"/>
      <c r="I44" s="150"/>
      <c r="J44" s="150"/>
      <c r="K44" s="151"/>
      <c r="L44" s="114" t="s">
        <v>23</v>
      </c>
      <c r="M44" s="1"/>
      <c r="N44" s="115" t="s">
        <v>161</v>
      </c>
      <c r="O44" s="115" t="s">
        <v>23</v>
      </c>
    </row>
    <row r="45" spans="1:15" x14ac:dyDescent="0.3">
      <c r="A45" s="6" t="s">
        <v>17</v>
      </c>
      <c r="B45" s="6" t="s">
        <v>2</v>
      </c>
      <c r="C45" s="117">
        <v>6000000</v>
      </c>
      <c r="D45" s="118">
        <v>1</v>
      </c>
      <c r="E45" s="117">
        <f t="shared" ref="E45:E55" si="10">C45*D45</f>
        <v>6000000</v>
      </c>
      <c r="F45" s="116" t="s">
        <v>3</v>
      </c>
      <c r="G45" s="116" t="s">
        <v>24</v>
      </c>
      <c r="H45" s="119" t="s">
        <v>4</v>
      </c>
      <c r="I45" s="120">
        <v>50000</v>
      </c>
      <c r="J45" s="121">
        <v>30</v>
      </c>
      <c r="K45" s="122">
        <f t="shared" ref="K45:K54" si="11">I45*J45</f>
        <v>1500000</v>
      </c>
      <c r="L45" s="123"/>
      <c r="M45" s="1"/>
      <c r="N45" s="110">
        <f>I45*30</f>
        <v>1500000</v>
      </c>
      <c r="O45" s="110">
        <f>K45-N45</f>
        <v>0</v>
      </c>
    </row>
    <row r="46" spans="1:15" x14ac:dyDescent="0.3">
      <c r="A46" s="116" t="s">
        <v>177</v>
      </c>
      <c r="B46" s="116"/>
      <c r="C46" s="143">
        <v>500000</v>
      </c>
      <c r="D46" s="118">
        <v>1</v>
      </c>
      <c r="E46" s="117">
        <f t="shared" si="10"/>
        <v>500000</v>
      </c>
      <c r="F46" s="116" t="s">
        <v>5</v>
      </c>
      <c r="G46" s="116" t="s">
        <v>24</v>
      </c>
      <c r="H46" s="116" t="s">
        <v>6</v>
      </c>
      <c r="I46" s="117">
        <v>35000</v>
      </c>
      <c r="J46" s="118">
        <v>4</v>
      </c>
      <c r="K46" s="124">
        <f t="shared" si="11"/>
        <v>140000</v>
      </c>
      <c r="L46" s="125"/>
      <c r="M46" s="1"/>
      <c r="N46" s="110">
        <f>I46*4</f>
        <v>140000</v>
      </c>
      <c r="O46" s="110">
        <f t="shared" ref="O46:O54" si="12">K46-N46</f>
        <v>0</v>
      </c>
    </row>
    <row r="47" spans="1:15" x14ac:dyDescent="0.3">
      <c r="A47" s="116" t="s">
        <v>178</v>
      </c>
      <c r="B47" s="116"/>
      <c r="C47" s="117">
        <v>500000</v>
      </c>
      <c r="D47" s="118">
        <v>1</v>
      </c>
      <c r="E47" s="117">
        <f t="shared" si="10"/>
        <v>500000</v>
      </c>
      <c r="F47" s="116" t="s">
        <v>152</v>
      </c>
      <c r="G47" s="116" t="s">
        <v>24</v>
      </c>
      <c r="H47" s="116" t="s">
        <v>6</v>
      </c>
      <c r="I47" s="117">
        <v>10000</v>
      </c>
      <c r="J47" s="118">
        <v>4</v>
      </c>
      <c r="K47" s="124">
        <f t="shared" si="11"/>
        <v>40000</v>
      </c>
      <c r="L47" s="125"/>
      <c r="M47" s="1"/>
      <c r="N47" s="110">
        <v>40000</v>
      </c>
      <c r="O47" s="110">
        <f t="shared" si="12"/>
        <v>0</v>
      </c>
    </row>
    <row r="48" spans="1:15" x14ac:dyDescent="0.3">
      <c r="A48" s="116" t="s">
        <v>179</v>
      </c>
      <c r="B48" s="116"/>
      <c r="C48" s="117">
        <v>590000</v>
      </c>
      <c r="D48" s="118">
        <v>1</v>
      </c>
      <c r="E48" s="117">
        <f t="shared" si="10"/>
        <v>590000</v>
      </c>
      <c r="F48" s="116" t="s">
        <v>9</v>
      </c>
      <c r="G48" s="116" t="s">
        <v>24</v>
      </c>
      <c r="H48" s="116" t="s">
        <v>2</v>
      </c>
      <c r="I48" s="117">
        <v>75000</v>
      </c>
      <c r="J48" s="118">
        <v>1</v>
      </c>
      <c r="K48" s="124">
        <f t="shared" si="11"/>
        <v>75000</v>
      </c>
      <c r="L48" s="125"/>
      <c r="M48" s="1"/>
      <c r="N48" s="110">
        <v>75000</v>
      </c>
      <c r="O48" s="110">
        <f t="shared" si="12"/>
        <v>0</v>
      </c>
    </row>
    <row r="49" spans="1:17" x14ac:dyDescent="0.3">
      <c r="A49" s="116" t="s">
        <v>180</v>
      </c>
      <c r="B49" s="116"/>
      <c r="C49" s="143">
        <v>130000</v>
      </c>
      <c r="D49" s="118">
        <v>1</v>
      </c>
      <c r="E49" s="117">
        <f t="shared" si="10"/>
        <v>130000</v>
      </c>
      <c r="F49" s="116" t="s">
        <v>12</v>
      </c>
      <c r="G49" s="116" t="s">
        <v>25</v>
      </c>
      <c r="H49" s="116" t="s">
        <v>2</v>
      </c>
      <c r="I49" s="117">
        <v>200000</v>
      </c>
      <c r="J49" s="118">
        <v>1</v>
      </c>
      <c r="K49" s="124">
        <f t="shared" si="11"/>
        <v>200000</v>
      </c>
      <c r="L49" s="125"/>
      <c r="M49" s="1"/>
      <c r="N49" s="110">
        <v>200000</v>
      </c>
      <c r="O49" s="110">
        <f t="shared" si="12"/>
        <v>0</v>
      </c>
    </row>
    <row r="50" spans="1:17" x14ac:dyDescent="0.3">
      <c r="A50" s="116" t="s">
        <v>181</v>
      </c>
      <c r="B50" s="116"/>
      <c r="C50" s="143">
        <v>900000</v>
      </c>
      <c r="D50" s="118">
        <v>1</v>
      </c>
      <c r="E50" s="117">
        <f t="shared" si="10"/>
        <v>900000</v>
      </c>
      <c r="F50" s="116" t="s">
        <v>13</v>
      </c>
      <c r="G50" s="116" t="s">
        <v>25</v>
      </c>
      <c r="H50" s="116" t="s">
        <v>2</v>
      </c>
      <c r="I50" s="117">
        <v>40000</v>
      </c>
      <c r="J50" s="118">
        <v>1</v>
      </c>
      <c r="K50" s="124">
        <f t="shared" si="11"/>
        <v>40000</v>
      </c>
      <c r="L50" s="125"/>
      <c r="M50" s="1"/>
      <c r="N50" s="110">
        <v>40000</v>
      </c>
      <c r="O50" s="110">
        <f t="shared" si="12"/>
        <v>0</v>
      </c>
    </row>
    <row r="51" spans="1:17" x14ac:dyDescent="0.3">
      <c r="A51" s="116" t="s">
        <v>183</v>
      </c>
      <c r="B51" s="116"/>
      <c r="C51" s="143">
        <v>900000</v>
      </c>
      <c r="D51" s="118">
        <v>1</v>
      </c>
      <c r="E51" s="117">
        <f t="shared" si="10"/>
        <v>900000</v>
      </c>
      <c r="F51" s="116" t="s">
        <v>1</v>
      </c>
      <c r="G51" s="116" t="s">
        <v>24</v>
      </c>
      <c r="H51" s="116" t="s">
        <v>2</v>
      </c>
      <c r="I51" s="117">
        <v>1600000</v>
      </c>
      <c r="J51" s="118">
        <v>1</v>
      </c>
      <c r="K51" s="124">
        <f t="shared" si="11"/>
        <v>1600000</v>
      </c>
      <c r="L51" s="125"/>
      <c r="M51" s="1"/>
      <c r="N51" s="110">
        <v>1600000</v>
      </c>
      <c r="O51" s="110">
        <f t="shared" si="12"/>
        <v>0</v>
      </c>
    </row>
    <row r="52" spans="1:17" x14ac:dyDescent="0.3">
      <c r="A52" s="116"/>
      <c r="B52" s="116"/>
      <c r="C52" s="117"/>
      <c r="D52" s="118"/>
      <c r="E52" s="117">
        <f t="shared" si="10"/>
        <v>0</v>
      </c>
      <c r="F52" s="116" t="s">
        <v>10</v>
      </c>
      <c r="G52" s="116" t="s">
        <v>14</v>
      </c>
      <c r="H52" s="116" t="s">
        <v>2</v>
      </c>
      <c r="I52" s="117">
        <v>0</v>
      </c>
      <c r="J52" s="118">
        <v>1</v>
      </c>
      <c r="K52" s="124">
        <f t="shared" si="11"/>
        <v>0</v>
      </c>
      <c r="L52" s="125"/>
      <c r="M52" s="1"/>
      <c r="N52" s="110">
        <v>0</v>
      </c>
      <c r="O52" s="110">
        <f t="shared" si="12"/>
        <v>0</v>
      </c>
    </row>
    <row r="53" spans="1:17" x14ac:dyDescent="0.3">
      <c r="A53" s="116"/>
      <c r="B53" s="116"/>
      <c r="C53" s="117"/>
      <c r="D53" s="118"/>
      <c r="E53" s="117">
        <f t="shared" si="10"/>
        <v>0</v>
      </c>
      <c r="F53" s="116" t="s">
        <v>49</v>
      </c>
      <c r="G53" s="116" t="s">
        <v>14</v>
      </c>
      <c r="H53" s="116" t="s">
        <v>6</v>
      </c>
      <c r="I53" s="117">
        <v>75000</v>
      </c>
      <c r="J53" s="118">
        <v>4</v>
      </c>
      <c r="K53" s="124">
        <f t="shared" si="11"/>
        <v>300000</v>
      </c>
      <c r="L53" s="125"/>
      <c r="M53" s="1"/>
      <c r="N53" s="110">
        <f>I53*4</f>
        <v>300000</v>
      </c>
      <c r="O53" s="110">
        <f t="shared" si="12"/>
        <v>0</v>
      </c>
    </row>
    <row r="54" spans="1:17" x14ac:dyDescent="0.3">
      <c r="A54" s="116"/>
      <c r="B54" s="116"/>
      <c r="C54" s="117"/>
      <c r="D54" s="118"/>
      <c r="E54" s="117">
        <f t="shared" si="10"/>
        <v>0</v>
      </c>
      <c r="F54" s="126" t="s">
        <v>15</v>
      </c>
      <c r="G54" s="126" t="s">
        <v>24</v>
      </c>
      <c r="H54" s="126" t="s">
        <v>2</v>
      </c>
      <c r="I54" s="123">
        <v>300000</v>
      </c>
      <c r="J54" s="127">
        <v>1</v>
      </c>
      <c r="K54" s="124">
        <f t="shared" si="11"/>
        <v>300000</v>
      </c>
      <c r="L54" s="125"/>
      <c r="M54" s="1"/>
      <c r="N54" s="110">
        <v>300000</v>
      </c>
      <c r="O54" s="110">
        <f t="shared" si="12"/>
        <v>0</v>
      </c>
    </row>
    <row r="55" spans="1:17" x14ac:dyDescent="0.3">
      <c r="A55" s="116"/>
      <c r="B55" s="116"/>
      <c r="C55" s="117"/>
      <c r="D55" s="118"/>
      <c r="E55" s="117">
        <f t="shared" si="10"/>
        <v>0</v>
      </c>
      <c r="F55" s="152" t="s">
        <v>26</v>
      </c>
      <c r="G55" s="153"/>
      <c r="H55" s="153"/>
      <c r="I55" s="153"/>
      <c r="J55" s="154"/>
      <c r="K55" s="128">
        <f>SUM(K45:K54)</f>
        <v>4195000</v>
      </c>
      <c r="L55" s="120">
        <f>E62-K55</f>
        <v>5325000</v>
      </c>
      <c r="M55" s="1"/>
      <c r="N55" s="129">
        <f>SUM(N45:N54)</f>
        <v>4195000</v>
      </c>
      <c r="O55" s="129">
        <f>SUM(O45:O54)</f>
        <v>0</v>
      </c>
    </row>
    <row r="56" spans="1:17" x14ac:dyDescent="0.3">
      <c r="A56" s="116"/>
      <c r="B56" s="116"/>
      <c r="C56" s="117"/>
      <c r="D56" s="118"/>
      <c r="E56" s="117">
        <v>0</v>
      </c>
      <c r="F56" s="25" t="s">
        <v>182</v>
      </c>
      <c r="G56" s="131"/>
      <c r="H56" s="131"/>
      <c r="I56" s="131"/>
      <c r="J56" s="132"/>
      <c r="K56" s="128">
        <v>325000</v>
      </c>
      <c r="L56" s="120">
        <f t="shared" ref="L56:L61" si="13">L55-K56</f>
        <v>5000000</v>
      </c>
      <c r="M56" s="1"/>
      <c r="N56" s="110">
        <f>255000+70000</f>
        <v>325000</v>
      </c>
      <c r="O56" s="110">
        <f t="shared" ref="O56:O61" si="14">K56-N56</f>
        <v>0</v>
      </c>
      <c r="P56" s="110"/>
    </row>
    <row r="57" spans="1:17" x14ac:dyDescent="0.3">
      <c r="A57" s="116"/>
      <c r="B57" s="116"/>
      <c r="C57" s="117"/>
      <c r="D57" s="118"/>
      <c r="E57" s="117">
        <v>0</v>
      </c>
      <c r="F57" s="25" t="s">
        <v>184</v>
      </c>
      <c r="G57" s="131"/>
      <c r="H57" s="131"/>
      <c r="I57" s="131"/>
      <c r="J57" s="132"/>
      <c r="K57" s="128">
        <v>150000</v>
      </c>
      <c r="L57" s="120">
        <f t="shared" si="13"/>
        <v>4850000</v>
      </c>
      <c r="M57" s="1"/>
      <c r="N57" s="110">
        <v>150000</v>
      </c>
      <c r="O57" s="110">
        <f t="shared" si="14"/>
        <v>0</v>
      </c>
      <c r="P57" s="110"/>
    </row>
    <row r="58" spans="1:17" x14ac:dyDescent="0.3">
      <c r="A58" s="116"/>
      <c r="B58" s="116"/>
      <c r="C58" s="117"/>
      <c r="D58" s="118"/>
      <c r="E58" s="117">
        <v>0</v>
      </c>
      <c r="F58" s="130" t="s">
        <v>185</v>
      </c>
      <c r="G58" s="131"/>
      <c r="H58" s="131"/>
      <c r="I58" s="131"/>
      <c r="J58" s="132"/>
      <c r="K58" s="128">
        <v>620000</v>
      </c>
      <c r="L58" s="120">
        <f t="shared" si="13"/>
        <v>4230000</v>
      </c>
      <c r="M58" s="1"/>
      <c r="N58" s="110">
        <f>K58</f>
        <v>620000</v>
      </c>
      <c r="O58" s="110">
        <f t="shared" si="14"/>
        <v>0</v>
      </c>
      <c r="P58" s="110"/>
    </row>
    <row r="59" spans="1:17" x14ac:dyDescent="0.3">
      <c r="A59" s="116"/>
      <c r="B59" s="116"/>
      <c r="C59" s="117"/>
      <c r="D59" s="118"/>
      <c r="E59" s="117">
        <v>0</v>
      </c>
      <c r="F59" s="130" t="s">
        <v>186</v>
      </c>
      <c r="G59" s="131"/>
      <c r="H59" s="131"/>
      <c r="I59" s="131"/>
      <c r="J59" s="132"/>
      <c r="K59" s="128">
        <v>3850000</v>
      </c>
      <c r="L59" s="120">
        <f t="shared" si="13"/>
        <v>380000</v>
      </c>
      <c r="M59" s="1"/>
      <c r="N59" s="110">
        <f>170000+3680000</f>
        <v>3850000</v>
      </c>
      <c r="O59" s="110">
        <f t="shared" si="14"/>
        <v>0</v>
      </c>
      <c r="P59" s="110"/>
      <c r="Q59" s="98"/>
    </row>
    <row r="60" spans="1:17" x14ac:dyDescent="0.3">
      <c r="A60" s="116"/>
      <c r="B60" s="116"/>
      <c r="C60" s="117"/>
      <c r="D60" s="118"/>
      <c r="E60" s="117">
        <v>0</v>
      </c>
      <c r="F60" s="130" t="s">
        <v>167</v>
      </c>
      <c r="G60" s="131"/>
      <c r="H60" s="131"/>
      <c r="I60" s="131"/>
      <c r="J60" s="132"/>
      <c r="K60" s="128">
        <v>0</v>
      </c>
      <c r="L60" s="120">
        <f t="shared" si="13"/>
        <v>380000</v>
      </c>
      <c r="M60" s="1"/>
      <c r="N60" s="110"/>
      <c r="O60" s="110">
        <f t="shared" si="14"/>
        <v>0</v>
      </c>
      <c r="P60" s="110"/>
    </row>
    <row r="61" spans="1:17" x14ac:dyDescent="0.3">
      <c r="A61" s="116"/>
      <c r="B61" s="116"/>
      <c r="C61" s="117"/>
      <c r="D61" s="118"/>
      <c r="E61" s="117">
        <f>C61*D61</f>
        <v>0</v>
      </c>
      <c r="F61" s="25" t="s">
        <v>197</v>
      </c>
      <c r="G61" s="131"/>
      <c r="H61" s="131"/>
      <c r="I61" s="131"/>
      <c r="J61" s="132"/>
      <c r="K61" s="124">
        <f>L60</f>
        <v>380000</v>
      </c>
      <c r="L61" s="120">
        <f t="shared" si="13"/>
        <v>0</v>
      </c>
      <c r="M61" s="1"/>
      <c r="N61" s="110">
        <v>380000</v>
      </c>
      <c r="O61" s="110">
        <f t="shared" si="14"/>
        <v>0</v>
      </c>
      <c r="P61" s="110"/>
    </row>
    <row r="62" spans="1:17" x14ac:dyDescent="0.3">
      <c r="A62" s="133" t="s">
        <v>20</v>
      </c>
      <c r="B62" s="134"/>
      <c r="C62" s="134"/>
      <c r="D62" s="135"/>
      <c r="E62" s="136">
        <f>SUM(E45:E61)</f>
        <v>9520000</v>
      </c>
      <c r="F62" s="133" t="s">
        <v>20</v>
      </c>
      <c r="G62" s="134"/>
      <c r="H62" s="134"/>
      <c r="I62" s="134"/>
      <c r="J62" s="137"/>
      <c r="K62" s="138">
        <f>SUM(K55:K61)</f>
        <v>9520000</v>
      </c>
      <c r="L62" s="139" t="b">
        <f>K62=E62</f>
        <v>1</v>
      </c>
      <c r="M62" s="1"/>
      <c r="N62" s="140">
        <f>SUM(N55:N61)</f>
        <v>9520000</v>
      </c>
      <c r="O62" s="140">
        <f>SUM(O55:O61)</f>
        <v>0</v>
      </c>
      <c r="P62" s="110"/>
      <c r="Q62" s="79"/>
    </row>
    <row r="64" spans="1:17" x14ac:dyDescent="0.3">
      <c r="A64" s="147" t="s">
        <v>148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"/>
      <c r="N64" s="110"/>
      <c r="O64" s="110"/>
    </row>
    <row r="65" spans="1:17" x14ac:dyDescent="0.3">
      <c r="A65" s="149" t="s">
        <v>16</v>
      </c>
      <c r="B65" s="149"/>
      <c r="C65" s="149"/>
      <c r="D65" s="149"/>
      <c r="E65" s="149"/>
      <c r="F65" s="150" t="s">
        <v>0</v>
      </c>
      <c r="G65" s="150"/>
      <c r="H65" s="150"/>
      <c r="I65" s="150"/>
      <c r="J65" s="150"/>
      <c r="K65" s="151"/>
      <c r="L65" s="114" t="s">
        <v>23</v>
      </c>
      <c r="M65" s="1"/>
      <c r="N65" s="115" t="s">
        <v>161</v>
      </c>
      <c r="O65" s="115" t="s">
        <v>23</v>
      </c>
    </row>
    <row r="66" spans="1:17" x14ac:dyDescent="0.3">
      <c r="A66" s="6" t="s">
        <v>17</v>
      </c>
      <c r="B66" s="6" t="s">
        <v>2</v>
      </c>
      <c r="C66" s="117">
        <v>6000000</v>
      </c>
      <c r="D66" s="118">
        <v>1</v>
      </c>
      <c r="E66" s="117">
        <f t="shared" ref="E66:E80" si="15">C66*D66</f>
        <v>6000000</v>
      </c>
      <c r="F66" s="116" t="s">
        <v>3</v>
      </c>
      <c r="G66" s="116" t="s">
        <v>24</v>
      </c>
      <c r="H66" s="119" t="s">
        <v>4</v>
      </c>
      <c r="I66" s="120">
        <v>50000</v>
      </c>
      <c r="J66" s="121">
        <v>16</v>
      </c>
      <c r="K66" s="122">
        <f t="shared" ref="K66:K75" si="16">I66*J66</f>
        <v>800000</v>
      </c>
      <c r="L66" s="123"/>
      <c r="M66" s="1"/>
      <c r="N66" s="110">
        <f>50000*16</f>
        <v>800000</v>
      </c>
      <c r="O66" s="110">
        <f>K66-N66</f>
        <v>0</v>
      </c>
      <c r="Q66" s="98"/>
    </row>
    <row r="67" spans="1:17" x14ac:dyDescent="0.3">
      <c r="A67" s="6" t="s">
        <v>187</v>
      </c>
      <c r="B67" s="116"/>
      <c r="C67" s="143">
        <v>350000</v>
      </c>
      <c r="D67" s="118">
        <v>1</v>
      </c>
      <c r="E67" s="117">
        <f t="shared" si="15"/>
        <v>350000</v>
      </c>
      <c r="F67" s="116" t="s">
        <v>5</v>
      </c>
      <c r="G67" s="116" t="s">
        <v>24</v>
      </c>
      <c r="H67" s="116" t="s">
        <v>6</v>
      </c>
      <c r="I67" s="117">
        <v>60000</v>
      </c>
      <c r="J67" s="118">
        <v>2</v>
      </c>
      <c r="K67" s="124">
        <f t="shared" si="16"/>
        <v>120000</v>
      </c>
      <c r="L67" s="125"/>
      <c r="M67" s="1"/>
      <c r="N67" s="110">
        <v>120000</v>
      </c>
      <c r="O67" s="110">
        <f t="shared" ref="O67:O75" si="17">K67-N67</f>
        <v>0</v>
      </c>
    </row>
    <row r="68" spans="1:17" x14ac:dyDescent="0.3">
      <c r="A68" s="6" t="s">
        <v>179</v>
      </c>
      <c r="B68" s="116"/>
      <c r="C68" s="117">
        <v>375000</v>
      </c>
      <c r="D68" s="118">
        <v>1</v>
      </c>
      <c r="E68" s="117">
        <f t="shared" si="15"/>
        <v>375000</v>
      </c>
      <c r="F68" s="116" t="s">
        <v>152</v>
      </c>
      <c r="G68" s="116" t="s">
        <v>24</v>
      </c>
      <c r="H68" s="116" t="s">
        <v>6</v>
      </c>
      <c r="I68" s="117">
        <v>20000</v>
      </c>
      <c r="J68" s="118">
        <v>1</v>
      </c>
      <c r="K68" s="124">
        <f t="shared" si="16"/>
        <v>20000</v>
      </c>
      <c r="L68" s="125"/>
      <c r="M68" s="1"/>
      <c r="N68" s="110">
        <v>20000</v>
      </c>
      <c r="O68" s="110">
        <f t="shared" si="17"/>
        <v>0</v>
      </c>
    </row>
    <row r="69" spans="1:17" x14ac:dyDescent="0.3">
      <c r="A69" s="6" t="s">
        <v>188</v>
      </c>
      <c r="B69" s="116"/>
      <c r="C69" s="117">
        <v>300000</v>
      </c>
      <c r="D69" s="118">
        <v>1</v>
      </c>
      <c r="E69" s="117">
        <f t="shared" si="15"/>
        <v>300000</v>
      </c>
      <c r="F69" s="116" t="s">
        <v>9</v>
      </c>
      <c r="G69" s="116" t="s">
        <v>24</v>
      </c>
      <c r="H69" s="116" t="s">
        <v>2</v>
      </c>
      <c r="I69" s="117">
        <v>75000</v>
      </c>
      <c r="J69" s="118">
        <v>1</v>
      </c>
      <c r="K69" s="124">
        <f t="shared" si="16"/>
        <v>75000</v>
      </c>
      <c r="L69" s="125"/>
      <c r="M69" s="1"/>
      <c r="N69" s="110">
        <v>75000</v>
      </c>
      <c r="O69" s="110">
        <f t="shared" si="17"/>
        <v>0</v>
      </c>
    </row>
    <row r="70" spans="1:17" x14ac:dyDescent="0.3">
      <c r="A70" s="6" t="s">
        <v>189</v>
      </c>
      <c r="B70" s="116"/>
      <c r="C70" s="143">
        <v>220000</v>
      </c>
      <c r="D70" s="118">
        <v>1</v>
      </c>
      <c r="E70" s="117">
        <f t="shared" si="15"/>
        <v>220000</v>
      </c>
      <c r="F70" s="116" t="s">
        <v>12</v>
      </c>
      <c r="G70" s="116" t="s">
        <v>25</v>
      </c>
      <c r="H70" s="116" t="s">
        <v>2</v>
      </c>
      <c r="I70" s="117">
        <v>200000</v>
      </c>
      <c r="J70" s="118">
        <v>1</v>
      </c>
      <c r="K70" s="124">
        <f>I70*J70</f>
        <v>200000</v>
      </c>
      <c r="L70" s="125"/>
      <c r="M70" s="1"/>
      <c r="N70" s="110">
        <v>200000</v>
      </c>
      <c r="O70" s="110">
        <f t="shared" si="17"/>
        <v>0</v>
      </c>
    </row>
    <row r="71" spans="1:17" x14ac:dyDescent="0.3">
      <c r="A71" s="6" t="s">
        <v>195</v>
      </c>
      <c r="B71" s="116"/>
      <c r="C71" s="143">
        <v>560000</v>
      </c>
      <c r="D71" s="118">
        <v>1</v>
      </c>
      <c r="E71" s="117">
        <f t="shared" si="15"/>
        <v>560000</v>
      </c>
      <c r="F71" s="116" t="s">
        <v>13</v>
      </c>
      <c r="G71" s="116" t="s">
        <v>25</v>
      </c>
      <c r="H71" s="116" t="s">
        <v>2</v>
      </c>
      <c r="I71" s="117">
        <v>40000</v>
      </c>
      <c r="J71" s="118">
        <v>1</v>
      </c>
      <c r="K71" s="124">
        <f t="shared" si="16"/>
        <v>40000</v>
      </c>
      <c r="L71" s="125"/>
      <c r="M71" s="1"/>
      <c r="N71" s="110">
        <v>40000</v>
      </c>
      <c r="O71" s="110">
        <f t="shared" si="17"/>
        <v>0</v>
      </c>
    </row>
    <row r="72" spans="1:17" x14ac:dyDescent="0.3">
      <c r="A72" s="6" t="s">
        <v>196</v>
      </c>
      <c r="B72" s="116"/>
      <c r="C72" s="143">
        <v>380000</v>
      </c>
      <c r="D72" s="118">
        <v>1</v>
      </c>
      <c r="E72" s="117">
        <f t="shared" si="15"/>
        <v>380000</v>
      </c>
      <c r="F72" s="116" t="s">
        <v>1</v>
      </c>
      <c r="G72" s="116" t="s">
        <v>24</v>
      </c>
      <c r="H72" s="116" t="s">
        <v>2</v>
      </c>
      <c r="I72" s="117">
        <v>1600000</v>
      </c>
      <c r="J72" s="118">
        <v>1</v>
      </c>
      <c r="K72" s="124">
        <f t="shared" si="16"/>
        <v>1600000</v>
      </c>
      <c r="L72" s="125"/>
      <c r="M72" s="1"/>
      <c r="N72" s="110">
        <v>1600000</v>
      </c>
      <c r="O72" s="110">
        <f t="shared" si="17"/>
        <v>0</v>
      </c>
    </row>
    <row r="73" spans="1:17" x14ac:dyDescent="0.3">
      <c r="A73" s="6" t="s">
        <v>199</v>
      </c>
      <c r="B73" s="116"/>
      <c r="C73" s="117">
        <v>275000</v>
      </c>
      <c r="D73" s="118">
        <v>1</v>
      </c>
      <c r="E73" s="117">
        <f t="shared" si="15"/>
        <v>275000</v>
      </c>
      <c r="F73" s="116" t="s">
        <v>10</v>
      </c>
      <c r="G73" s="116" t="s">
        <v>14</v>
      </c>
      <c r="H73" s="116" t="s">
        <v>2</v>
      </c>
      <c r="I73" s="117">
        <v>0</v>
      </c>
      <c r="J73" s="118">
        <v>1</v>
      </c>
      <c r="K73" s="124">
        <f t="shared" si="16"/>
        <v>0</v>
      </c>
      <c r="L73" s="125"/>
      <c r="M73" s="1"/>
      <c r="N73" s="110"/>
      <c r="O73" s="110">
        <f t="shared" si="17"/>
        <v>0</v>
      </c>
    </row>
    <row r="74" spans="1:17" x14ac:dyDescent="0.3">
      <c r="A74" s="116"/>
      <c r="B74" s="116"/>
      <c r="C74" s="117"/>
      <c r="D74" s="118"/>
      <c r="E74" s="117">
        <f t="shared" si="15"/>
        <v>0</v>
      </c>
      <c r="F74" s="116" t="s">
        <v>49</v>
      </c>
      <c r="G74" s="116" t="s">
        <v>14</v>
      </c>
      <c r="H74" s="116" t="s">
        <v>6</v>
      </c>
      <c r="I74" s="117">
        <v>75000</v>
      </c>
      <c r="J74" s="118">
        <v>3</v>
      </c>
      <c r="K74" s="124">
        <f t="shared" si="16"/>
        <v>225000</v>
      </c>
      <c r="L74" s="125"/>
      <c r="M74" s="1"/>
      <c r="N74" s="110">
        <f>K74</f>
        <v>225000</v>
      </c>
      <c r="O74" s="110">
        <f t="shared" si="17"/>
        <v>0</v>
      </c>
    </row>
    <row r="75" spans="1:17" x14ac:dyDescent="0.3">
      <c r="A75" s="116"/>
      <c r="B75" s="116"/>
      <c r="C75" s="117"/>
      <c r="D75" s="118"/>
      <c r="E75" s="117">
        <f t="shared" si="15"/>
        <v>0</v>
      </c>
      <c r="F75" s="126" t="s">
        <v>15</v>
      </c>
      <c r="G75" s="126" t="s">
        <v>24</v>
      </c>
      <c r="H75" s="126" t="s">
        <v>2</v>
      </c>
      <c r="I75" s="123">
        <f>290000+165000+275000</f>
        <v>730000</v>
      </c>
      <c r="J75" s="127">
        <v>1</v>
      </c>
      <c r="K75" s="124">
        <f t="shared" si="16"/>
        <v>730000</v>
      </c>
      <c r="L75" s="125"/>
      <c r="M75" s="1"/>
      <c r="N75" s="110">
        <v>730000</v>
      </c>
      <c r="O75" s="110">
        <f t="shared" si="17"/>
        <v>0</v>
      </c>
    </row>
    <row r="76" spans="1:17" x14ac:dyDescent="0.3">
      <c r="A76" s="116"/>
      <c r="B76" s="116"/>
      <c r="C76" s="117"/>
      <c r="D76" s="118"/>
      <c r="E76" s="117">
        <f t="shared" si="15"/>
        <v>0</v>
      </c>
      <c r="F76" s="152" t="s">
        <v>26</v>
      </c>
      <c r="G76" s="153"/>
      <c r="H76" s="153"/>
      <c r="I76" s="153"/>
      <c r="J76" s="154"/>
      <c r="K76" s="128">
        <f>SUM(K66:K75)</f>
        <v>3810000</v>
      </c>
      <c r="L76" s="120">
        <f>E84-K76</f>
        <v>4650000</v>
      </c>
      <c r="M76" s="1"/>
      <c r="N76" s="129">
        <f>SUM(N66:N75)</f>
        <v>3810000</v>
      </c>
      <c r="O76" s="129">
        <f>SUM(O66:O75)</f>
        <v>0</v>
      </c>
    </row>
    <row r="77" spans="1:17" x14ac:dyDescent="0.3">
      <c r="A77" s="116"/>
      <c r="B77" s="116"/>
      <c r="C77" s="117"/>
      <c r="D77" s="118"/>
      <c r="E77" s="117">
        <f t="shared" si="15"/>
        <v>0</v>
      </c>
      <c r="F77" s="25" t="s">
        <v>190</v>
      </c>
      <c r="G77" s="131"/>
      <c r="H77" s="131"/>
      <c r="I77" s="131"/>
      <c r="J77" s="132"/>
      <c r="K77" s="128">
        <v>80000</v>
      </c>
      <c r="L77" s="120">
        <f>L76-K77</f>
        <v>4570000</v>
      </c>
      <c r="M77" s="1"/>
      <c r="N77" s="110">
        <v>80000</v>
      </c>
      <c r="O77" s="110">
        <f t="shared" ref="O77:O83" si="18">K77-N77</f>
        <v>0</v>
      </c>
      <c r="P77" s="110"/>
    </row>
    <row r="78" spans="1:17" x14ac:dyDescent="0.3">
      <c r="A78" s="116"/>
      <c r="B78" s="116"/>
      <c r="C78" s="117"/>
      <c r="D78" s="118"/>
      <c r="E78" s="117">
        <f t="shared" si="15"/>
        <v>0</v>
      </c>
      <c r="F78" s="25" t="s">
        <v>198</v>
      </c>
      <c r="G78" s="131"/>
      <c r="H78" s="131"/>
      <c r="I78" s="131"/>
      <c r="J78" s="132"/>
      <c r="K78" s="128">
        <v>150000</v>
      </c>
      <c r="L78" s="120">
        <f t="shared" ref="L78:L83" si="19">L77-K78</f>
        <v>4420000</v>
      </c>
      <c r="M78" s="1"/>
      <c r="N78" s="110">
        <v>150000</v>
      </c>
      <c r="O78" s="110">
        <f t="shared" si="18"/>
        <v>0</v>
      </c>
      <c r="P78" s="110"/>
    </row>
    <row r="79" spans="1:17" x14ac:dyDescent="0.3">
      <c r="A79" s="116"/>
      <c r="B79" s="116"/>
      <c r="C79" s="117"/>
      <c r="D79" s="118"/>
      <c r="E79" s="117">
        <f t="shared" si="15"/>
        <v>0</v>
      </c>
      <c r="F79" s="25" t="s">
        <v>191</v>
      </c>
      <c r="G79" s="131"/>
      <c r="H79" s="131"/>
      <c r="I79" s="131"/>
      <c r="J79" s="132"/>
      <c r="K79" s="128">
        <f>25000*10</f>
        <v>250000</v>
      </c>
      <c r="L79" s="120">
        <f t="shared" si="19"/>
        <v>4170000</v>
      </c>
      <c r="M79" s="1"/>
      <c r="N79" s="110">
        <v>250000</v>
      </c>
      <c r="O79" s="110">
        <f t="shared" si="18"/>
        <v>0</v>
      </c>
      <c r="P79" s="110"/>
    </row>
    <row r="80" spans="1:17" x14ac:dyDescent="0.3">
      <c r="A80" s="116"/>
      <c r="B80" s="116"/>
      <c r="C80" s="117"/>
      <c r="D80" s="118"/>
      <c r="E80" s="117">
        <f t="shared" si="15"/>
        <v>0</v>
      </c>
      <c r="F80" s="25" t="s">
        <v>192</v>
      </c>
      <c r="G80" s="131"/>
      <c r="H80" s="131"/>
      <c r="I80" s="131"/>
      <c r="J80" s="132"/>
      <c r="K80" s="128">
        <v>300000</v>
      </c>
      <c r="L80" s="120">
        <f t="shared" si="19"/>
        <v>3870000</v>
      </c>
      <c r="M80" s="1"/>
      <c r="N80" s="110">
        <v>300000</v>
      </c>
      <c r="O80" s="110">
        <f t="shared" si="18"/>
        <v>0</v>
      </c>
      <c r="P80" s="110"/>
    </row>
    <row r="81" spans="1:17" x14ac:dyDescent="0.3">
      <c r="A81" s="116"/>
      <c r="B81" s="116"/>
      <c r="C81" s="117"/>
      <c r="D81" s="118"/>
      <c r="E81" s="117">
        <v>0</v>
      </c>
      <c r="F81" s="25" t="s">
        <v>193</v>
      </c>
      <c r="G81" s="131"/>
      <c r="H81" s="131"/>
      <c r="I81" s="131"/>
      <c r="J81" s="132"/>
      <c r="K81" s="128">
        <v>700000</v>
      </c>
      <c r="L81" s="120">
        <f t="shared" si="19"/>
        <v>3170000</v>
      </c>
      <c r="M81" s="1"/>
      <c r="N81" s="110">
        <v>700000</v>
      </c>
      <c r="O81" s="110">
        <f t="shared" si="18"/>
        <v>0</v>
      </c>
      <c r="P81" s="110"/>
      <c r="Q81" s="98"/>
    </row>
    <row r="82" spans="1:17" x14ac:dyDescent="0.3">
      <c r="A82" s="116"/>
      <c r="B82" s="116"/>
      <c r="C82" s="117"/>
      <c r="D82" s="118"/>
      <c r="E82" s="117">
        <v>0</v>
      </c>
      <c r="F82" s="25" t="s">
        <v>194</v>
      </c>
      <c r="G82" s="131"/>
      <c r="H82" s="131"/>
      <c r="I82" s="131"/>
      <c r="J82" s="132"/>
      <c r="K82" s="128">
        <f>150000+520000</f>
        <v>670000</v>
      </c>
      <c r="L82" s="120">
        <f t="shared" si="19"/>
        <v>2500000</v>
      </c>
      <c r="M82" s="1"/>
      <c r="N82" s="110">
        <f>K82</f>
        <v>670000</v>
      </c>
      <c r="O82" s="110">
        <f t="shared" si="18"/>
        <v>0</v>
      </c>
      <c r="P82" s="110"/>
    </row>
    <row r="83" spans="1:17" x14ac:dyDescent="0.3">
      <c r="A83" s="116"/>
      <c r="B83" s="116"/>
      <c r="C83" s="117"/>
      <c r="D83" s="118"/>
      <c r="E83" s="117">
        <f>C83*D83</f>
        <v>0</v>
      </c>
      <c r="F83" s="130" t="s">
        <v>19</v>
      </c>
      <c r="G83" s="131"/>
      <c r="H83" s="131"/>
      <c r="I83" s="131"/>
      <c r="J83" s="132"/>
      <c r="K83" s="124">
        <f>L82</f>
        <v>2500000</v>
      </c>
      <c r="L83" s="120">
        <f t="shared" si="19"/>
        <v>0</v>
      </c>
      <c r="M83" s="1"/>
      <c r="N83" s="110">
        <f>K83</f>
        <v>2500000</v>
      </c>
      <c r="O83" s="110">
        <f t="shared" si="18"/>
        <v>0</v>
      </c>
      <c r="P83" s="110"/>
    </row>
    <row r="84" spans="1:17" x14ac:dyDescent="0.3">
      <c r="A84" s="133" t="s">
        <v>20</v>
      </c>
      <c r="B84" s="134"/>
      <c r="C84" s="134"/>
      <c r="D84" s="135"/>
      <c r="E84" s="136">
        <f>SUM(E66:E83)</f>
        <v>8460000</v>
      </c>
      <c r="F84" s="133" t="s">
        <v>20</v>
      </c>
      <c r="G84" s="134"/>
      <c r="H84" s="134"/>
      <c r="I84" s="134"/>
      <c r="J84" s="137"/>
      <c r="K84" s="138">
        <f>SUM(K76:K83)</f>
        <v>8460000</v>
      </c>
      <c r="L84" s="139" t="b">
        <f>K84=E84</f>
        <v>1</v>
      </c>
      <c r="M84" s="1"/>
      <c r="N84" s="140">
        <f>SUM(N76:N83)</f>
        <v>8460000</v>
      </c>
      <c r="O84" s="140">
        <f>SUM(O76:O83)</f>
        <v>0</v>
      </c>
      <c r="P84" s="110"/>
      <c r="Q84" s="79"/>
    </row>
    <row r="85" spans="1:17" x14ac:dyDescent="0.3">
      <c r="O85" s="79">
        <f>O84</f>
        <v>0</v>
      </c>
      <c r="P85" s="79"/>
    </row>
    <row r="86" spans="1:17" x14ac:dyDescent="0.3">
      <c r="A86" s="147" t="s">
        <v>149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"/>
      <c r="N86" s="110"/>
      <c r="O86" s="110"/>
    </row>
    <row r="87" spans="1:17" x14ac:dyDescent="0.3">
      <c r="A87" s="149" t="s">
        <v>16</v>
      </c>
      <c r="B87" s="149"/>
      <c r="C87" s="149"/>
      <c r="D87" s="149"/>
      <c r="E87" s="149"/>
      <c r="F87" s="150" t="s">
        <v>0</v>
      </c>
      <c r="G87" s="150"/>
      <c r="H87" s="150"/>
      <c r="I87" s="150"/>
      <c r="J87" s="150"/>
      <c r="K87" s="151"/>
      <c r="L87" s="114" t="s">
        <v>23</v>
      </c>
      <c r="M87" s="1"/>
      <c r="N87" s="115" t="s">
        <v>161</v>
      </c>
      <c r="O87" s="115" t="s">
        <v>23</v>
      </c>
    </row>
    <row r="88" spans="1:17" x14ac:dyDescent="0.3">
      <c r="A88" s="6" t="s">
        <v>17</v>
      </c>
      <c r="B88" s="6" t="s">
        <v>2</v>
      </c>
      <c r="C88" s="117">
        <v>6000000</v>
      </c>
      <c r="D88" s="118">
        <v>1</v>
      </c>
      <c r="E88" s="117">
        <f t="shared" ref="E88:E102" si="20">C88*D88</f>
        <v>6000000</v>
      </c>
      <c r="F88" s="116" t="s">
        <v>3</v>
      </c>
      <c r="G88" s="116" t="s">
        <v>24</v>
      </c>
      <c r="H88" s="119" t="s">
        <v>4</v>
      </c>
      <c r="I88" s="120">
        <v>50000</v>
      </c>
      <c r="J88" s="121">
        <v>30</v>
      </c>
      <c r="K88" s="122">
        <f>I88*J88</f>
        <v>1500000</v>
      </c>
      <c r="L88" s="123"/>
      <c r="M88" s="1"/>
      <c r="N88" s="110">
        <f>I88*30</f>
        <v>1500000</v>
      </c>
      <c r="O88" s="110">
        <f>K88-N88</f>
        <v>0</v>
      </c>
      <c r="Q88" s="98"/>
    </row>
    <row r="89" spans="1:17" x14ac:dyDescent="0.3">
      <c r="A89" s="6" t="s">
        <v>179</v>
      </c>
      <c r="B89" s="116"/>
      <c r="C89" s="143">
        <v>0</v>
      </c>
      <c r="D89" s="118">
        <v>1</v>
      </c>
      <c r="E89" s="117">
        <f t="shared" si="20"/>
        <v>0</v>
      </c>
      <c r="F89" s="116" t="s">
        <v>5</v>
      </c>
      <c r="G89" s="116" t="s">
        <v>24</v>
      </c>
      <c r="H89" s="116" t="s">
        <v>6</v>
      </c>
      <c r="I89" s="117">
        <v>50000</v>
      </c>
      <c r="J89" s="118">
        <v>4</v>
      </c>
      <c r="K89" s="124">
        <f t="shared" ref="K89:K91" si="21">I89*J89</f>
        <v>200000</v>
      </c>
      <c r="L89" s="125"/>
      <c r="M89" s="1"/>
      <c r="N89" s="110">
        <v>200000</v>
      </c>
      <c r="O89" s="110">
        <f t="shared" ref="O89:O97" si="22">K89-N89</f>
        <v>0</v>
      </c>
    </row>
    <row r="90" spans="1:17" x14ac:dyDescent="0.3">
      <c r="A90" s="6" t="s">
        <v>200</v>
      </c>
      <c r="B90" s="116"/>
      <c r="C90" s="117">
        <v>350000</v>
      </c>
      <c r="D90" s="118">
        <v>1</v>
      </c>
      <c r="E90" s="117">
        <f t="shared" si="20"/>
        <v>350000</v>
      </c>
      <c r="F90" s="116" t="s">
        <v>152</v>
      </c>
      <c r="G90" s="116" t="s">
        <v>24</v>
      </c>
      <c r="H90" s="116" t="s">
        <v>6</v>
      </c>
      <c r="I90" s="117">
        <v>20000</v>
      </c>
      <c r="J90" s="118">
        <v>3</v>
      </c>
      <c r="K90" s="124">
        <f t="shared" si="21"/>
        <v>60000</v>
      </c>
      <c r="L90" s="125"/>
      <c r="M90" s="1"/>
      <c r="N90" s="110">
        <v>60000</v>
      </c>
      <c r="O90" s="110">
        <f t="shared" si="22"/>
        <v>0</v>
      </c>
    </row>
    <row r="91" spans="1:17" x14ac:dyDescent="0.3">
      <c r="A91" s="6" t="s">
        <v>201</v>
      </c>
      <c r="B91" s="116"/>
      <c r="C91" s="117">
        <v>300000</v>
      </c>
      <c r="D91" s="118">
        <v>1</v>
      </c>
      <c r="E91" s="117">
        <f t="shared" si="20"/>
        <v>300000</v>
      </c>
      <c r="F91" s="116" t="s">
        <v>9</v>
      </c>
      <c r="G91" s="116" t="s">
        <v>24</v>
      </c>
      <c r="H91" s="116" t="s">
        <v>2</v>
      </c>
      <c r="I91" s="117">
        <v>75000</v>
      </c>
      <c r="J91" s="118">
        <v>1</v>
      </c>
      <c r="K91" s="124">
        <f t="shared" si="21"/>
        <v>75000</v>
      </c>
      <c r="L91" s="125"/>
      <c r="M91" s="1"/>
      <c r="N91" s="110">
        <v>75000</v>
      </c>
      <c r="O91" s="110">
        <f t="shared" si="22"/>
        <v>0</v>
      </c>
    </row>
    <row r="92" spans="1:17" x14ac:dyDescent="0.3">
      <c r="A92" s="6" t="s">
        <v>202</v>
      </c>
      <c r="B92" s="116"/>
      <c r="C92" s="143">
        <v>0</v>
      </c>
      <c r="D92" s="118">
        <v>1</v>
      </c>
      <c r="E92" s="117">
        <f t="shared" si="20"/>
        <v>0</v>
      </c>
      <c r="F92" s="116" t="s">
        <v>12</v>
      </c>
      <c r="G92" s="116" t="s">
        <v>25</v>
      </c>
      <c r="H92" s="116" t="s">
        <v>2</v>
      </c>
      <c r="I92" s="117">
        <v>200000</v>
      </c>
      <c r="J92" s="118">
        <v>1</v>
      </c>
      <c r="K92" s="124">
        <f>I92*J92</f>
        <v>200000</v>
      </c>
      <c r="L92" s="125"/>
      <c r="M92" s="1"/>
      <c r="N92" s="110">
        <v>200000</v>
      </c>
      <c r="O92" s="110">
        <f t="shared" si="22"/>
        <v>0</v>
      </c>
    </row>
    <row r="93" spans="1:17" x14ac:dyDescent="0.3">
      <c r="A93" s="6" t="s">
        <v>208</v>
      </c>
      <c r="B93" s="116"/>
      <c r="C93" s="143">
        <v>500000</v>
      </c>
      <c r="D93" s="118">
        <v>1</v>
      </c>
      <c r="E93" s="117">
        <f t="shared" si="20"/>
        <v>500000</v>
      </c>
      <c r="F93" s="116" t="s">
        <v>13</v>
      </c>
      <c r="G93" s="116" t="s">
        <v>25</v>
      </c>
      <c r="H93" s="116" t="s">
        <v>2</v>
      </c>
      <c r="I93" s="117">
        <v>40000</v>
      </c>
      <c r="J93" s="118">
        <v>1</v>
      </c>
      <c r="K93" s="124">
        <f t="shared" ref="K93:K97" si="23">I93*J93</f>
        <v>40000</v>
      </c>
      <c r="L93" s="125"/>
      <c r="M93" s="1"/>
      <c r="N93" s="110">
        <v>40000</v>
      </c>
      <c r="O93" s="110">
        <f t="shared" si="22"/>
        <v>0</v>
      </c>
    </row>
    <row r="94" spans="1:17" x14ac:dyDescent="0.3">
      <c r="A94" s="6"/>
      <c r="B94" s="116"/>
      <c r="C94" s="143"/>
      <c r="D94" s="118"/>
      <c r="E94" s="117">
        <f t="shared" si="20"/>
        <v>0</v>
      </c>
      <c r="F94" s="116" t="s">
        <v>1</v>
      </c>
      <c r="G94" s="116" t="s">
        <v>24</v>
      </c>
      <c r="H94" s="116" t="s">
        <v>2</v>
      </c>
      <c r="I94" s="117">
        <v>1600000</v>
      </c>
      <c r="J94" s="118">
        <v>1</v>
      </c>
      <c r="K94" s="124">
        <f t="shared" si="23"/>
        <v>1600000</v>
      </c>
      <c r="L94" s="125"/>
      <c r="M94" s="1"/>
      <c r="N94" s="110">
        <v>1600000</v>
      </c>
      <c r="O94" s="110">
        <f t="shared" si="22"/>
        <v>0</v>
      </c>
    </row>
    <row r="95" spans="1:17" x14ac:dyDescent="0.3">
      <c r="A95" s="6"/>
      <c r="B95" s="116"/>
      <c r="C95" s="117"/>
      <c r="D95" s="118"/>
      <c r="E95" s="117">
        <f t="shared" si="20"/>
        <v>0</v>
      </c>
      <c r="F95" s="116" t="s">
        <v>10</v>
      </c>
      <c r="G95" s="116" t="s">
        <v>14</v>
      </c>
      <c r="H95" s="116" t="s">
        <v>2</v>
      </c>
      <c r="I95" s="117">
        <v>0</v>
      </c>
      <c r="J95" s="118">
        <v>1</v>
      </c>
      <c r="K95" s="124">
        <f t="shared" si="23"/>
        <v>0</v>
      </c>
      <c r="L95" s="125"/>
      <c r="M95" s="1"/>
      <c r="N95" s="110"/>
      <c r="O95" s="110">
        <f t="shared" si="22"/>
        <v>0</v>
      </c>
    </row>
    <row r="96" spans="1:17" x14ac:dyDescent="0.3">
      <c r="A96" s="116"/>
      <c r="B96" s="116"/>
      <c r="C96" s="117"/>
      <c r="D96" s="118"/>
      <c r="E96" s="117">
        <f t="shared" si="20"/>
        <v>0</v>
      </c>
      <c r="F96" s="116" t="s">
        <v>49</v>
      </c>
      <c r="G96" s="116" t="s">
        <v>14</v>
      </c>
      <c r="H96" s="116" t="s">
        <v>6</v>
      </c>
      <c r="I96" s="117">
        <v>75000</v>
      </c>
      <c r="J96" s="118">
        <v>4</v>
      </c>
      <c r="K96" s="124">
        <f t="shared" si="23"/>
        <v>300000</v>
      </c>
      <c r="L96" s="125"/>
      <c r="M96" s="1"/>
      <c r="N96" s="110">
        <v>300000</v>
      </c>
      <c r="O96" s="110">
        <f t="shared" si="22"/>
        <v>0</v>
      </c>
    </row>
    <row r="97" spans="1:18" x14ac:dyDescent="0.3">
      <c r="A97" s="116"/>
      <c r="B97" s="116"/>
      <c r="C97" s="117"/>
      <c r="D97" s="118"/>
      <c r="E97" s="117">
        <f t="shared" si="20"/>
        <v>0</v>
      </c>
      <c r="F97" s="126" t="s">
        <v>15</v>
      </c>
      <c r="G97" s="126" t="s">
        <v>24</v>
      </c>
      <c r="H97" s="126" t="s">
        <v>2</v>
      </c>
      <c r="I97" s="123">
        <v>200000</v>
      </c>
      <c r="J97" s="127">
        <v>1</v>
      </c>
      <c r="K97" s="124">
        <f t="shared" si="23"/>
        <v>200000</v>
      </c>
      <c r="L97" s="125"/>
      <c r="M97" s="1"/>
      <c r="N97" s="110">
        <v>200000</v>
      </c>
      <c r="O97" s="110">
        <f t="shared" si="22"/>
        <v>0</v>
      </c>
    </row>
    <row r="98" spans="1:18" x14ac:dyDescent="0.3">
      <c r="A98" s="116"/>
      <c r="B98" s="116"/>
      <c r="C98" s="117"/>
      <c r="D98" s="118"/>
      <c r="E98" s="117">
        <f t="shared" si="20"/>
        <v>0</v>
      </c>
      <c r="F98" s="152" t="s">
        <v>26</v>
      </c>
      <c r="G98" s="153"/>
      <c r="H98" s="153"/>
      <c r="I98" s="153"/>
      <c r="J98" s="154"/>
      <c r="K98" s="128">
        <f>SUM(K88:K97)</f>
        <v>4175000</v>
      </c>
      <c r="L98" s="120">
        <f>E106-K98</f>
        <v>2975000</v>
      </c>
      <c r="M98" s="1"/>
      <c r="N98" s="129">
        <f>SUM(N88:N97)</f>
        <v>4175000</v>
      </c>
      <c r="O98" s="129">
        <f>SUM(O88:O97)</f>
        <v>0</v>
      </c>
    </row>
    <row r="99" spans="1:18" x14ac:dyDescent="0.3">
      <c r="A99" s="116"/>
      <c r="B99" s="116"/>
      <c r="C99" s="117"/>
      <c r="D99" s="118"/>
      <c r="E99" s="117">
        <f t="shared" si="20"/>
        <v>0</v>
      </c>
      <c r="F99" s="25" t="s">
        <v>172</v>
      </c>
      <c r="G99" s="131"/>
      <c r="H99" s="131"/>
      <c r="I99" s="131"/>
      <c r="J99" s="132"/>
      <c r="K99" s="128">
        <v>300000</v>
      </c>
      <c r="L99" s="120">
        <f>L98-K99</f>
        <v>2675000</v>
      </c>
      <c r="M99" s="1"/>
      <c r="N99" s="110">
        <v>300000</v>
      </c>
      <c r="O99" s="110">
        <f t="shared" ref="O99:O105" si="24">K99-N99</f>
        <v>0</v>
      </c>
      <c r="P99" s="110"/>
    </row>
    <row r="100" spans="1:18" x14ac:dyDescent="0.3">
      <c r="A100" s="116"/>
      <c r="B100" s="116"/>
      <c r="C100" s="117"/>
      <c r="D100" s="118"/>
      <c r="E100" s="117">
        <f t="shared" si="20"/>
        <v>0</v>
      </c>
      <c r="F100" s="25" t="s">
        <v>203</v>
      </c>
      <c r="G100" s="131"/>
      <c r="H100" s="131"/>
      <c r="I100" s="131"/>
      <c r="J100" s="132"/>
      <c r="K100" s="128">
        <v>550000</v>
      </c>
      <c r="L100" s="120">
        <f t="shared" ref="L100:L105" si="25">L99-K100</f>
        <v>2125000</v>
      </c>
      <c r="M100" s="1"/>
      <c r="N100" s="110">
        <v>550000</v>
      </c>
      <c r="O100" s="110">
        <f t="shared" si="24"/>
        <v>0</v>
      </c>
      <c r="P100" s="110"/>
    </row>
    <row r="101" spans="1:18" x14ac:dyDescent="0.3">
      <c r="A101" s="116"/>
      <c r="B101" s="116"/>
      <c r="C101" s="117"/>
      <c r="D101" s="118"/>
      <c r="E101" s="117">
        <f t="shared" si="20"/>
        <v>0</v>
      </c>
      <c r="F101" s="25"/>
      <c r="G101" s="131"/>
      <c r="H101" s="131"/>
      <c r="I101" s="131"/>
      <c r="J101" s="132"/>
      <c r="K101" s="128">
        <v>0</v>
      </c>
      <c r="L101" s="120">
        <f t="shared" si="25"/>
        <v>2125000</v>
      </c>
      <c r="M101" s="1"/>
      <c r="N101" s="110"/>
      <c r="O101" s="110">
        <f t="shared" si="24"/>
        <v>0</v>
      </c>
      <c r="P101" s="110"/>
    </row>
    <row r="102" spans="1:18" x14ac:dyDescent="0.3">
      <c r="A102" s="116"/>
      <c r="B102" s="116"/>
      <c r="C102" s="117"/>
      <c r="D102" s="118"/>
      <c r="E102" s="117">
        <f t="shared" si="20"/>
        <v>0</v>
      </c>
      <c r="F102" s="25"/>
      <c r="G102" s="131"/>
      <c r="H102" s="131"/>
      <c r="I102" s="131"/>
      <c r="J102" s="132"/>
      <c r="K102" s="128">
        <v>0</v>
      </c>
      <c r="L102" s="120">
        <f t="shared" si="25"/>
        <v>2125000</v>
      </c>
      <c r="M102" s="1"/>
      <c r="N102" s="110"/>
      <c r="O102" s="110">
        <f t="shared" si="24"/>
        <v>0</v>
      </c>
      <c r="P102" s="110"/>
    </row>
    <row r="103" spans="1:18" x14ac:dyDescent="0.3">
      <c r="A103" s="116"/>
      <c r="B103" s="116"/>
      <c r="C103" s="117"/>
      <c r="D103" s="118"/>
      <c r="E103" s="117">
        <v>0</v>
      </c>
      <c r="F103" s="25"/>
      <c r="G103" s="131"/>
      <c r="H103" s="131"/>
      <c r="I103" s="131"/>
      <c r="J103" s="132"/>
      <c r="K103" s="128">
        <v>0</v>
      </c>
      <c r="L103" s="120">
        <f t="shared" si="25"/>
        <v>2125000</v>
      </c>
      <c r="M103" s="1"/>
      <c r="N103" s="110"/>
      <c r="O103" s="110">
        <f t="shared" si="24"/>
        <v>0</v>
      </c>
      <c r="P103" s="110"/>
      <c r="Q103" s="98"/>
    </row>
    <row r="104" spans="1:18" x14ac:dyDescent="0.3">
      <c r="A104" s="116"/>
      <c r="B104" s="116"/>
      <c r="C104" s="117"/>
      <c r="D104" s="118"/>
      <c r="E104" s="117">
        <v>0</v>
      </c>
      <c r="F104" s="25"/>
      <c r="G104" s="131"/>
      <c r="H104" s="131"/>
      <c r="I104" s="131"/>
      <c r="J104" s="132"/>
      <c r="K104" s="128">
        <v>0</v>
      </c>
      <c r="L104" s="120">
        <f t="shared" si="25"/>
        <v>2125000</v>
      </c>
      <c r="M104" s="1"/>
      <c r="N104" s="110"/>
      <c r="O104" s="110">
        <f t="shared" si="24"/>
        <v>0</v>
      </c>
      <c r="P104" s="110"/>
    </row>
    <row r="105" spans="1:18" x14ac:dyDescent="0.3">
      <c r="A105" s="116"/>
      <c r="B105" s="116"/>
      <c r="C105" s="117"/>
      <c r="D105" s="118"/>
      <c r="E105" s="117">
        <f>C105*D105</f>
        <v>0</v>
      </c>
      <c r="F105" s="25" t="s">
        <v>207</v>
      </c>
      <c r="G105" s="131"/>
      <c r="H105" s="131"/>
      <c r="I105" s="131"/>
      <c r="J105" s="132"/>
      <c r="K105" s="124">
        <f>L104</f>
        <v>2125000</v>
      </c>
      <c r="L105" s="120">
        <f t="shared" si="25"/>
        <v>0</v>
      </c>
      <c r="M105" s="1"/>
      <c r="N105" s="110">
        <v>2125000</v>
      </c>
      <c r="O105" s="110">
        <f t="shared" si="24"/>
        <v>0</v>
      </c>
      <c r="P105" s="110"/>
    </row>
    <row r="106" spans="1:18" x14ac:dyDescent="0.3">
      <c r="A106" s="133" t="s">
        <v>20</v>
      </c>
      <c r="B106" s="134"/>
      <c r="C106" s="134"/>
      <c r="D106" s="135"/>
      <c r="E106" s="136">
        <f>SUM(E88:E105)</f>
        <v>7150000</v>
      </c>
      <c r="F106" s="133" t="s">
        <v>20</v>
      </c>
      <c r="G106" s="134"/>
      <c r="H106" s="134"/>
      <c r="I106" s="134"/>
      <c r="J106" s="137"/>
      <c r="K106" s="138">
        <f>SUM(K98:K105)</f>
        <v>7150000</v>
      </c>
      <c r="L106" s="139" t="b">
        <f>K106=E106</f>
        <v>1</v>
      </c>
      <c r="M106" s="1"/>
      <c r="N106" s="140">
        <f>SUM(N98:N105)</f>
        <v>7150000</v>
      </c>
      <c r="O106" s="140">
        <f>SUM(O98:O105)</f>
        <v>0</v>
      </c>
      <c r="P106" s="110"/>
      <c r="Q106" s="79"/>
    </row>
    <row r="107" spans="1:18" x14ac:dyDescent="0.3">
      <c r="O107" s="79">
        <f>O106-E92+O85-E89</f>
        <v>0</v>
      </c>
      <c r="P107" s="79"/>
    </row>
    <row r="108" spans="1:18" x14ac:dyDescent="0.3">
      <c r="A108" s="147" t="s">
        <v>154</v>
      </c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"/>
      <c r="N108" s="110"/>
      <c r="O108" s="110"/>
    </row>
    <row r="109" spans="1:18" x14ac:dyDescent="0.3">
      <c r="A109" s="149" t="s">
        <v>16</v>
      </c>
      <c r="B109" s="149"/>
      <c r="C109" s="149"/>
      <c r="D109" s="149"/>
      <c r="E109" s="149"/>
      <c r="F109" s="150" t="s">
        <v>0</v>
      </c>
      <c r="G109" s="150"/>
      <c r="H109" s="150"/>
      <c r="I109" s="150"/>
      <c r="J109" s="150"/>
      <c r="K109" s="151"/>
      <c r="L109" s="114" t="s">
        <v>23</v>
      </c>
      <c r="M109" s="1"/>
      <c r="N109" s="115" t="s">
        <v>161</v>
      </c>
      <c r="O109" s="115" t="s">
        <v>23</v>
      </c>
    </row>
    <row r="110" spans="1:18" x14ac:dyDescent="0.3">
      <c r="A110" s="6" t="s">
        <v>17</v>
      </c>
      <c r="B110" s="6" t="s">
        <v>2</v>
      </c>
      <c r="C110" s="117">
        <v>12500000</v>
      </c>
      <c r="D110" s="118">
        <v>1</v>
      </c>
      <c r="E110" s="117">
        <f t="shared" ref="E110:E124" si="26">C110*D110</f>
        <v>12500000</v>
      </c>
      <c r="F110" s="116" t="s">
        <v>3</v>
      </c>
      <c r="G110" s="116" t="s">
        <v>24</v>
      </c>
      <c r="H110" s="119" t="s">
        <v>4</v>
      </c>
      <c r="I110" s="120">
        <v>50000</v>
      </c>
      <c r="J110" s="121">
        <v>30</v>
      </c>
      <c r="K110" s="122">
        <f t="shared" ref="K110:K113" si="27">I110*J110</f>
        <v>1500000</v>
      </c>
      <c r="L110" s="123"/>
      <c r="M110" s="1"/>
      <c r="N110" s="110">
        <f>I110*12</f>
        <v>600000</v>
      </c>
      <c r="O110" s="110">
        <f>K110-N110</f>
        <v>900000</v>
      </c>
      <c r="Q110" s="98"/>
      <c r="R110" s="69"/>
    </row>
    <row r="111" spans="1:18" x14ac:dyDescent="0.3">
      <c r="A111" s="6" t="s">
        <v>202</v>
      </c>
      <c r="B111" s="116"/>
      <c r="C111" s="143">
        <v>300000</v>
      </c>
      <c r="D111" s="118">
        <v>1</v>
      </c>
      <c r="E111" s="117">
        <f t="shared" si="26"/>
        <v>300000</v>
      </c>
      <c r="F111" s="116" t="s">
        <v>5</v>
      </c>
      <c r="G111" s="116" t="s">
        <v>24</v>
      </c>
      <c r="H111" s="116" t="s">
        <v>6</v>
      </c>
      <c r="I111" s="117">
        <v>40000</v>
      </c>
      <c r="J111" s="118">
        <v>4</v>
      </c>
      <c r="K111" s="124">
        <f t="shared" si="27"/>
        <v>160000</v>
      </c>
      <c r="L111" s="125"/>
      <c r="M111" s="1"/>
      <c r="N111" s="110">
        <v>140000</v>
      </c>
      <c r="O111" s="110">
        <f t="shared" ref="O111:O119" si="28">K111-N111</f>
        <v>20000</v>
      </c>
      <c r="R111" s="69"/>
    </row>
    <row r="112" spans="1:18" x14ac:dyDescent="0.3">
      <c r="A112" s="6" t="s">
        <v>179</v>
      </c>
      <c r="B112" s="116"/>
      <c r="C112" s="117">
        <v>300000</v>
      </c>
      <c r="D112" s="118">
        <v>1</v>
      </c>
      <c r="E112" s="117">
        <f t="shared" si="26"/>
        <v>300000</v>
      </c>
      <c r="F112" s="116" t="s">
        <v>152</v>
      </c>
      <c r="G112" s="116" t="s">
        <v>24</v>
      </c>
      <c r="H112" s="116" t="s">
        <v>6</v>
      </c>
      <c r="I112" s="117">
        <v>20000</v>
      </c>
      <c r="J112" s="118">
        <v>3</v>
      </c>
      <c r="K112" s="124">
        <f t="shared" si="27"/>
        <v>60000</v>
      </c>
      <c r="L112" s="125"/>
      <c r="M112" s="1"/>
      <c r="N112" s="110">
        <v>20000</v>
      </c>
      <c r="O112" s="110">
        <f t="shared" si="28"/>
        <v>40000</v>
      </c>
      <c r="R112" s="145"/>
    </row>
    <row r="113" spans="1:19" x14ac:dyDescent="0.3">
      <c r="A113" s="6" t="s">
        <v>209</v>
      </c>
      <c r="B113" s="116"/>
      <c r="C113" s="117">
        <v>350000</v>
      </c>
      <c r="D113" s="118">
        <v>1</v>
      </c>
      <c r="E113" s="117">
        <f t="shared" si="26"/>
        <v>350000</v>
      </c>
      <c r="F113" s="116" t="s">
        <v>9</v>
      </c>
      <c r="G113" s="116" t="s">
        <v>24</v>
      </c>
      <c r="H113" s="116" t="s">
        <v>2</v>
      </c>
      <c r="I113" s="117">
        <v>80000</v>
      </c>
      <c r="J113" s="118">
        <v>1</v>
      </c>
      <c r="K113" s="124">
        <f t="shared" si="27"/>
        <v>80000</v>
      </c>
      <c r="L113" s="125"/>
      <c r="M113" s="1"/>
      <c r="N113" s="110">
        <v>80000</v>
      </c>
      <c r="O113" s="110">
        <f t="shared" si="28"/>
        <v>0</v>
      </c>
      <c r="R113" s="79"/>
    </row>
    <row r="114" spans="1:19" x14ac:dyDescent="0.3">
      <c r="A114" s="6"/>
      <c r="B114" s="116"/>
      <c r="C114" s="143"/>
      <c r="D114" s="118">
        <v>1</v>
      </c>
      <c r="E114" s="117">
        <f t="shared" si="26"/>
        <v>0</v>
      </c>
      <c r="F114" s="116" t="s">
        <v>12</v>
      </c>
      <c r="G114" s="116" t="s">
        <v>25</v>
      </c>
      <c r="H114" s="116" t="s">
        <v>2</v>
      </c>
      <c r="I114" s="117">
        <v>200000</v>
      </c>
      <c r="J114" s="118">
        <v>1</v>
      </c>
      <c r="K114" s="124">
        <f>I114*J114</f>
        <v>200000</v>
      </c>
      <c r="L114" s="125"/>
      <c r="M114" s="1"/>
      <c r="N114" s="110">
        <v>100000</v>
      </c>
      <c r="O114" s="110">
        <f t="shared" si="28"/>
        <v>100000</v>
      </c>
      <c r="R114" s="79"/>
    </row>
    <row r="115" spans="1:19" x14ac:dyDescent="0.3">
      <c r="A115" s="6"/>
      <c r="B115" s="116"/>
      <c r="C115" s="143"/>
      <c r="D115" s="118">
        <v>1</v>
      </c>
      <c r="E115" s="117">
        <f t="shared" si="26"/>
        <v>0</v>
      </c>
      <c r="F115" s="116" t="s">
        <v>13</v>
      </c>
      <c r="G115" s="116" t="s">
        <v>25</v>
      </c>
      <c r="H115" s="116" t="s">
        <v>2</v>
      </c>
      <c r="I115" s="117">
        <v>50000</v>
      </c>
      <c r="J115" s="118">
        <v>1</v>
      </c>
      <c r="K115" s="124">
        <f t="shared" ref="K115:K119" si="29">I115*J115</f>
        <v>50000</v>
      </c>
      <c r="L115" s="125"/>
      <c r="M115" s="1"/>
      <c r="N115" s="110"/>
      <c r="O115" s="110">
        <f t="shared" si="28"/>
        <v>50000</v>
      </c>
      <c r="R115" s="79"/>
    </row>
    <row r="116" spans="1:19" x14ac:dyDescent="0.3">
      <c r="A116" s="6"/>
      <c r="B116" s="116"/>
      <c r="C116" s="143"/>
      <c r="D116" s="118">
        <v>1</v>
      </c>
      <c r="E116" s="117">
        <f t="shared" si="26"/>
        <v>0</v>
      </c>
      <c r="F116" s="116" t="s">
        <v>1</v>
      </c>
      <c r="G116" s="116" t="s">
        <v>24</v>
      </c>
      <c r="H116" s="116" t="s">
        <v>2</v>
      </c>
      <c r="I116" s="117">
        <v>1600000</v>
      </c>
      <c r="J116" s="118">
        <v>1</v>
      </c>
      <c r="K116" s="124">
        <f t="shared" si="29"/>
        <v>1600000</v>
      </c>
      <c r="L116" s="125"/>
      <c r="M116" s="1"/>
      <c r="N116" s="110">
        <v>1600000</v>
      </c>
      <c r="O116" s="110">
        <f t="shared" si="28"/>
        <v>0</v>
      </c>
    </row>
    <row r="117" spans="1:19" x14ac:dyDescent="0.3">
      <c r="A117" s="6"/>
      <c r="B117" s="116"/>
      <c r="C117" s="117"/>
      <c r="D117" s="118">
        <v>1</v>
      </c>
      <c r="E117" s="117">
        <f t="shared" si="26"/>
        <v>0</v>
      </c>
      <c r="F117" s="116" t="s">
        <v>10</v>
      </c>
      <c r="G117" s="116" t="s">
        <v>14</v>
      </c>
      <c r="H117" s="116" t="s">
        <v>2</v>
      </c>
      <c r="I117" s="117">
        <v>0</v>
      </c>
      <c r="J117" s="118">
        <v>1</v>
      </c>
      <c r="K117" s="124">
        <f t="shared" si="29"/>
        <v>0</v>
      </c>
      <c r="L117" s="125"/>
      <c r="M117" s="1"/>
      <c r="N117" s="110"/>
      <c r="O117" s="110">
        <f t="shared" si="28"/>
        <v>0</v>
      </c>
    </row>
    <row r="118" spans="1:19" x14ac:dyDescent="0.3">
      <c r="A118" s="116"/>
      <c r="B118" s="116"/>
      <c r="C118" s="117"/>
      <c r="D118" s="118"/>
      <c r="E118" s="117">
        <f t="shared" si="26"/>
        <v>0</v>
      </c>
      <c r="F118" s="116" t="s">
        <v>49</v>
      </c>
      <c r="G118" s="116" t="s">
        <v>14</v>
      </c>
      <c r="H118" s="116" t="s">
        <v>6</v>
      </c>
      <c r="I118" s="117">
        <v>75000</v>
      </c>
      <c r="J118" s="118">
        <v>4</v>
      </c>
      <c r="K118" s="124">
        <f t="shared" si="29"/>
        <v>300000</v>
      </c>
      <c r="L118" s="125"/>
      <c r="M118" s="1"/>
      <c r="N118" s="110">
        <f>I118*2</f>
        <v>150000</v>
      </c>
      <c r="O118" s="110">
        <f t="shared" si="28"/>
        <v>150000</v>
      </c>
    </row>
    <row r="119" spans="1:19" x14ac:dyDescent="0.3">
      <c r="A119" s="116"/>
      <c r="B119" s="116"/>
      <c r="C119" s="117"/>
      <c r="D119" s="118"/>
      <c r="E119" s="117">
        <f t="shared" si="26"/>
        <v>0</v>
      </c>
      <c r="F119" s="126" t="s">
        <v>15</v>
      </c>
      <c r="G119" s="126" t="s">
        <v>24</v>
      </c>
      <c r="H119" s="126" t="s">
        <v>2</v>
      </c>
      <c r="I119" s="123">
        <v>200000</v>
      </c>
      <c r="J119" s="127">
        <v>1</v>
      </c>
      <c r="K119" s="124">
        <f t="shared" si="29"/>
        <v>200000</v>
      </c>
      <c r="L119" s="125"/>
      <c r="M119" s="1"/>
      <c r="N119" s="110">
        <v>100000</v>
      </c>
      <c r="O119" s="110">
        <f t="shared" si="28"/>
        <v>100000</v>
      </c>
    </row>
    <row r="120" spans="1:19" x14ac:dyDescent="0.3">
      <c r="A120" s="116"/>
      <c r="B120" s="116"/>
      <c r="C120" s="117"/>
      <c r="D120" s="118"/>
      <c r="E120" s="117">
        <f t="shared" si="26"/>
        <v>0</v>
      </c>
      <c r="F120" s="152" t="s">
        <v>26</v>
      </c>
      <c r="G120" s="153"/>
      <c r="H120" s="153"/>
      <c r="I120" s="153"/>
      <c r="J120" s="154"/>
      <c r="K120" s="128">
        <f>SUM(K110:K119)</f>
        <v>4150000</v>
      </c>
      <c r="L120" s="120">
        <f>E128-K120</f>
        <v>9300000</v>
      </c>
      <c r="M120" s="1"/>
      <c r="N120" s="129">
        <f>SUM(N110:N119)</f>
        <v>2790000</v>
      </c>
      <c r="O120" s="129">
        <f>SUM(O110:O119)</f>
        <v>1360000</v>
      </c>
    </row>
    <row r="121" spans="1:19" x14ac:dyDescent="0.3">
      <c r="A121" s="116"/>
      <c r="B121" s="116"/>
      <c r="C121" s="117"/>
      <c r="D121" s="118"/>
      <c r="E121" s="117">
        <f t="shared" si="26"/>
        <v>0</v>
      </c>
      <c r="F121" s="25" t="s">
        <v>204</v>
      </c>
      <c r="G121" s="131"/>
      <c r="H121" s="131"/>
      <c r="I121" s="131"/>
      <c r="J121" s="132"/>
      <c r="K121" s="128">
        <v>1000000</v>
      </c>
      <c r="L121" s="120">
        <f>L120-K121</f>
        <v>8300000</v>
      </c>
      <c r="M121" s="1"/>
      <c r="N121" s="110">
        <v>1000000</v>
      </c>
      <c r="O121" s="110">
        <f t="shared" ref="O121:O127" si="30">K121-N121</f>
        <v>0</v>
      </c>
      <c r="P121" s="110"/>
    </row>
    <row r="122" spans="1:19" x14ac:dyDescent="0.3">
      <c r="A122" s="116"/>
      <c r="B122" s="116"/>
      <c r="C122" s="117"/>
      <c r="D122" s="118"/>
      <c r="E122" s="117">
        <f t="shared" si="26"/>
        <v>0</v>
      </c>
      <c r="F122" s="25" t="s">
        <v>205</v>
      </c>
      <c r="G122" s="131"/>
      <c r="H122" s="131"/>
      <c r="I122" s="131"/>
      <c r="J122" s="132"/>
      <c r="K122" s="128">
        <v>500000</v>
      </c>
      <c r="L122" s="120">
        <f t="shared" ref="L122:L127" si="31">L121-K122</f>
        <v>7800000</v>
      </c>
      <c r="M122" s="1"/>
      <c r="N122" s="110">
        <v>500000</v>
      </c>
      <c r="O122" s="110">
        <f t="shared" si="30"/>
        <v>0</v>
      </c>
      <c r="P122" s="110"/>
    </row>
    <row r="123" spans="1:19" x14ac:dyDescent="0.3">
      <c r="A123" s="116"/>
      <c r="B123" s="116"/>
      <c r="C123" s="117"/>
      <c r="D123" s="118"/>
      <c r="E123" s="117">
        <f t="shared" si="26"/>
        <v>0</v>
      </c>
      <c r="F123" s="25" t="s">
        <v>172</v>
      </c>
      <c r="G123" s="131"/>
      <c r="H123" s="131"/>
      <c r="I123" s="131"/>
      <c r="J123" s="132"/>
      <c r="K123" s="128">
        <v>2610000</v>
      </c>
      <c r="L123" s="120">
        <f t="shared" si="31"/>
        <v>5190000</v>
      </c>
      <c r="M123" s="1"/>
      <c r="N123" s="110">
        <v>2610000</v>
      </c>
      <c r="O123" s="110">
        <f t="shared" si="30"/>
        <v>0</v>
      </c>
      <c r="P123" s="110"/>
    </row>
    <row r="124" spans="1:19" x14ac:dyDescent="0.3">
      <c r="A124" s="116"/>
      <c r="B124" s="116"/>
      <c r="C124" s="117"/>
      <c r="D124" s="118"/>
      <c r="E124" s="117">
        <f t="shared" si="26"/>
        <v>0</v>
      </c>
      <c r="F124" s="25" t="s">
        <v>206</v>
      </c>
      <c r="G124" s="131"/>
      <c r="H124" s="131"/>
      <c r="I124" s="131"/>
      <c r="J124" s="132"/>
      <c r="K124" s="128">
        <v>750000</v>
      </c>
      <c r="L124" s="120">
        <f t="shared" si="31"/>
        <v>4440000</v>
      </c>
      <c r="M124" s="1"/>
      <c r="N124" s="110">
        <v>750000</v>
      </c>
      <c r="O124" s="110">
        <f t="shared" si="30"/>
        <v>0</v>
      </c>
      <c r="P124" s="110"/>
    </row>
    <row r="125" spans="1:19" x14ac:dyDescent="0.3">
      <c r="A125" s="116"/>
      <c r="B125" s="116"/>
      <c r="C125" s="117"/>
      <c r="D125" s="118"/>
      <c r="E125" s="117">
        <v>0</v>
      </c>
      <c r="F125" s="25"/>
      <c r="G125" s="131"/>
      <c r="H125" s="131"/>
      <c r="I125" s="131"/>
      <c r="J125" s="132"/>
      <c r="K125" s="128">
        <v>0</v>
      </c>
      <c r="L125" s="120">
        <f t="shared" si="31"/>
        <v>4440000</v>
      </c>
      <c r="M125" s="1"/>
      <c r="N125" s="110"/>
      <c r="O125" s="110">
        <f t="shared" si="30"/>
        <v>0</v>
      </c>
      <c r="P125" s="110"/>
      <c r="Q125" s="98"/>
      <c r="S125">
        <v>12736</v>
      </c>
    </row>
    <row r="126" spans="1:19" x14ac:dyDescent="0.3">
      <c r="A126" s="116"/>
      <c r="B126" s="116"/>
      <c r="C126" s="117"/>
      <c r="D126" s="118"/>
      <c r="E126" s="117">
        <v>0</v>
      </c>
      <c r="F126" s="25"/>
      <c r="G126" s="131"/>
      <c r="H126" s="131"/>
      <c r="I126" s="131"/>
      <c r="J126" s="132"/>
      <c r="K126" s="128">
        <v>0</v>
      </c>
      <c r="L126" s="120">
        <f t="shared" si="31"/>
        <v>4440000</v>
      </c>
      <c r="M126" s="1"/>
      <c r="N126" s="110"/>
      <c r="O126" s="110">
        <f t="shared" si="30"/>
        <v>0</v>
      </c>
      <c r="P126" s="110"/>
      <c r="S126">
        <f>S125-12436</f>
        <v>300</v>
      </c>
    </row>
    <row r="127" spans="1:19" x14ac:dyDescent="0.3">
      <c r="A127" s="116"/>
      <c r="B127" s="116"/>
      <c r="C127" s="117"/>
      <c r="D127" s="118"/>
      <c r="E127" s="117">
        <f>C127*D127</f>
        <v>0</v>
      </c>
      <c r="F127" s="130" t="s">
        <v>19</v>
      </c>
      <c r="G127" s="131"/>
      <c r="H127" s="131"/>
      <c r="I127" s="131"/>
      <c r="J127" s="144">
        <f>K127/K128</f>
        <v>0.33011152416356876</v>
      </c>
      <c r="K127" s="124">
        <f>L126</f>
        <v>4440000</v>
      </c>
      <c r="L127" s="120">
        <f t="shared" si="31"/>
        <v>0</v>
      </c>
      <c r="M127" s="1"/>
      <c r="N127" s="110">
        <v>4250000</v>
      </c>
      <c r="O127" s="110">
        <f t="shared" si="30"/>
        <v>190000</v>
      </c>
      <c r="P127" s="110">
        <v>24000</v>
      </c>
    </row>
    <row r="128" spans="1:19" x14ac:dyDescent="0.3">
      <c r="A128" s="133" t="s">
        <v>20</v>
      </c>
      <c r="B128" s="134"/>
      <c r="C128" s="134"/>
      <c r="D128" s="135"/>
      <c r="E128" s="136">
        <f>SUM(E110:E127)</f>
        <v>13450000</v>
      </c>
      <c r="F128" s="133" t="s">
        <v>20</v>
      </c>
      <c r="G128" s="134"/>
      <c r="H128" s="134"/>
      <c r="I128" s="134"/>
      <c r="J128" s="137"/>
      <c r="K128" s="138">
        <f>SUM(K120:K127)</f>
        <v>13450000</v>
      </c>
      <c r="L128" s="139" t="b">
        <f>K128=E128</f>
        <v>1</v>
      </c>
      <c r="M128" s="1"/>
      <c r="N128" s="140">
        <f>SUM(N120:N127)</f>
        <v>11900000</v>
      </c>
      <c r="O128" s="140">
        <f>SUM(O120:O127)</f>
        <v>1550000</v>
      </c>
      <c r="P128" s="110">
        <v>1402000</v>
      </c>
      <c r="Q128" s="79">
        <f>P129-O129</f>
        <v>176000</v>
      </c>
    </row>
    <row r="129" spans="1:17" x14ac:dyDescent="0.3">
      <c r="O129" s="79">
        <f>O128-E112</f>
        <v>1250000</v>
      </c>
      <c r="P129" s="79">
        <f>P127+P128</f>
        <v>1426000</v>
      </c>
    </row>
    <row r="130" spans="1:17" x14ac:dyDescent="0.3">
      <c r="A130" s="147" t="s">
        <v>164</v>
      </c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"/>
      <c r="N130" s="146">
        <f ca="1">DAY(TODAY())</f>
        <v>15</v>
      </c>
      <c r="O130" s="110"/>
    </row>
    <row r="131" spans="1:17" x14ac:dyDescent="0.3">
      <c r="A131" s="149" t="s">
        <v>16</v>
      </c>
      <c r="B131" s="149"/>
      <c r="C131" s="149"/>
      <c r="D131" s="149"/>
      <c r="E131" s="149"/>
      <c r="F131" s="150" t="s">
        <v>0</v>
      </c>
      <c r="G131" s="150"/>
      <c r="H131" s="150"/>
      <c r="I131" s="150"/>
      <c r="J131" s="150"/>
      <c r="K131" s="151"/>
      <c r="L131" s="114" t="s">
        <v>23</v>
      </c>
      <c r="M131" s="1"/>
      <c r="N131" s="115" t="s">
        <v>161</v>
      </c>
      <c r="O131" s="115" t="s">
        <v>23</v>
      </c>
    </row>
    <row r="132" spans="1:17" x14ac:dyDescent="0.3">
      <c r="A132" s="6" t="s">
        <v>17</v>
      </c>
      <c r="B132" s="6" t="s">
        <v>2</v>
      </c>
      <c r="C132" s="117">
        <v>12500000</v>
      </c>
      <c r="D132" s="118">
        <v>1</v>
      </c>
      <c r="E132" s="117">
        <f t="shared" ref="E132:E146" si="32">C132*D132</f>
        <v>12500000</v>
      </c>
      <c r="F132" s="116" t="s">
        <v>3</v>
      </c>
      <c r="G132" s="116" t="s">
        <v>24</v>
      </c>
      <c r="H132" s="119" t="s">
        <v>4</v>
      </c>
      <c r="I132" s="120">
        <v>50000</v>
      </c>
      <c r="J132" s="121">
        <v>30</v>
      </c>
      <c r="K132" s="122">
        <f t="shared" ref="K132:K135" si="33">I132*J132</f>
        <v>1500000</v>
      </c>
      <c r="L132" s="123"/>
      <c r="M132" s="1"/>
      <c r="N132" s="110">
        <f ca="1">I132*$N$130</f>
        <v>750000</v>
      </c>
      <c r="O132" s="110">
        <f ca="1">K132-N132</f>
        <v>750000</v>
      </c>
      <c r="Q132" s="98"/>
    </row>
    <row r="133" spans="1:17" x14ac:dyDescent="0.3">
      <c r="A133" s="6" t="s">
        <v>211</v>
      </c>
      <c r="B133" s="116"/>
      <c r="C133" s="143">
        <v>322000</v>
      </c>
      <c r="D133" s="118">
        <v>1</v>
      </c>
      <c r="E133" s="117">
        <f t="shared" si="32"/>
        <v>322000</v>
      </c>
      <c r="F133" s="116" t="s">
        <v>5</v>
      </c>
      <c r="G133" s="116" t="s">
        <v>24</v>
      </c>
      <c r="H133" s="116" t="s">
        <v>6</v>
      </c>
      <c r="I133" s="117">
        <v>50000</v>
      </c>
      <c r="J133" s="118">
        <v>4</v>
      </c>
      <c r="K133" s="124">
        <f t="shared" si="33"/>
        <v>200000</v>
      </c>
      <c r="L133" s="125"/>
      <c r="M133" s="1"/>
      <c r="N133" s="110">
        <v>100000</v>
      </c>
      <c r="O133" s="110">
        <f t="shared" ref="O133:O141" si="34">K133-N133</f>
        <v>100000</v>
      </c>
    </row>
    <row r="134" spans="1:17" x14ac:dyDescent="0.3">
      <c r="A134" s="6" t="s">
        <v>212</v>
      </c>
      <c r="B134" s="116"/>
      <c r="C134" s="117">
        <v>300000</v>
      </c>
      <c r="D134" s="118">
        <v>1</v>
      </c>
      <c r="E134" s="117">
        <f t="shared" si="32"/>
        <v>300000</v>
      </c>
      <c r="F134" s="116" t="s">
        <v>152</v>
      </c>
      <c r="G134" s="116" t="s">
        <v>24</v>
      </c>
      <c r="H134" s="116" t="s">
        <v>6</v>
      </c>
      <c r="I134" s="117">
        <v>20000</v>
      </c>
      <c r="J134" s="118">
        <v>3</v>
      </c>
      <c r="K134" s="124">
        <f t="shared" si="33"/>
        <v>60000</v>
      </c>
      <c r="L134" s="125"/>
      <c r="M134" s="1"/>
      <c r="N134" s="110">
        <v>20000</v>
      </c>
      <c r="O134" s="110">
        <f t="shared" si="34"/>
        <v>40000</v>
      </c>
    </row>
    <row r="135" spans="1:17" x14ac:dyDescent="0.3">
      <c r="A135" s="6" t="s">
        <v>213</v>
      </c>
      <c r="B135" s="116"/>
      <c r="C135" s="117">
        <v>120000</v>
      </c>
      <c r="D135" s="118">
        <v>1</v>
      </c>
      <c r="E135" s="117">
        <f t="shared" si="32"/>
        <v>120000</v>
      </c>
      <c r="F135" s="116" t="s">
        <v>9</v>
      </c>
      <c r="G135" s="116" t="s">
        <v>24</v>
      </c>
      <c r="H135" s="116" t="s">
        <v>2</v>
      </c>
      <c r="I135" s="117">
        <v>80000</v>
      </c>
      <c r="J135" s="118">
        <v>1</v>
      </c>
      <c r="K135" s="124">
        <f t="shared" si="33"/>
        <v>80000</v>
      </c>
      <c r="L135" s="125"/>
      <c r="M135" s="1"/>
      <c r="N135" s="110">
        <v>80000</v>
      </c>
      <c r="O135" s="110">
        <f t="shared" si="34"/>
        <v>0</v>
      </c>
    </row>
    <row r="136" spans="1:17" x14ac:dyDescent="0.3">
      <c r="A136" s="6" t="s">
        <v>214</v>
      </c>
      <c r="B136" s="116"/>
      <c r="C136" s="143">
        <v>320000</v>
      </c>
      <c r="D136" s="118">
        <v>1</v>
      </c>
      <c r="E136" s="117">
        <f t="shared" si="32"/>
        <v>320000</v>
      </c>
      <c r="F136" s="116" t="s">
        <v>12</v>
      </c>
      <c r="G136" s="116" t="s">
        <v>25</v>
      </c>
      <c r="H136" s="116" t="s">
        <v>2</v>
      </c>
      <c r="I136" s="117">
        <v>200000</v>
      </c>
      <c r="J136" s="118">
        <v>1</v>
      </c>
      <c r="K136" s="124">
        <f>I136*J136</f>
        <v>200000</v>
      </c>
      <c r="L136" s="125"/>
      <c r="M136" s="1"/>
      <c r="N136" s="110">
        <v>100000</v>
      </c>
      <c r="O136" s="110">
        <f t="shared" si="34"/>
        <v>100000</v>
      </c>
    </row>
    <row r="137" spans="1:17" x14ac:dyDescent="0.3">
      <c r="A137" s="6"/>
      <c r="B137" s="116"/>
      <c r="C137" s="143"/>
      <c r="D137" s="118">
        <v>1</v>
      </c>
      <c r="E137" s="117">
        <f t="shared" si="32"/>
        <v>0</v>
      </c>
      <c r="F137" s="116" t="s">
        <v>13</v>
      </c>
      <c r="G137" s="116" t="s">
        <v>25</v>
      </c>
      <c r="H137" s="116" t="s">
        <v>2</v>
      </c>
      <c r="I137" s="117">
        <v>50000</v>
      </c>
      <c r="J137" s="118">
        <v>1</v>
      </c>
      <c r="K137" s="124">
        <f t="shared" ref="K137:K141" si="35">I137*J137</f>
        <v>50000</v>
      </c>
      <c r="L137" s="125"/>
      <c r="M137" s="1"/>
      <c r="N137" s="110"/>
      <c r="O137" s="110">
        <f t="shared" si="34"/>
        <v>50000</v>
      </c>
    </row>
    <row r="138" spans="1:17" x14ac:dyDescent="0.3">
      <c r="A138" s="6"/>
      <c r="B138" s="116"/>
      <c r="C138" s="143"/>
      <c r="D138" s="118">
        <v>1</v>
      </c>
      <c r="E138" s="117">
        <f t="shared" si="32"/>
        <v>0</v>
      </c>
      <c r="F138" s="116" t="s">
        <v>1</v>
      </c>
      <c r="G138" s="116" t="s">
        <v>24</v>
      </c>
      <c r="H138" s="116" t="s">
        <v>2</v>
      </c>
      <c r="I138" s="117">
        <v>1600000</v>
      </c>
      <c r="J138" s="118">
        <v>1</v>
      </c>
      <c r="K138" s="124">
        <f t="shared" si="35"/>
        <v>1600000</v>
      </c>
      <c r="L138" s="125"/>
      <c r="M138" s="1"/>
      <c r="N138" s="110">
        <v>1600000</v>
      </c>
      <c r="O138" s="110">
        <f t="shared" si="34"/>
        <v>0</v>
      </c>
    </row>
    <row r="139" spans="1:17" x14ac:dyDescent="0.3">
      <c r="A139" s="6"/>
      <c r="B139" s="116"/>
      <c r="C139" s="117"/>
      <c r="D139" s="118">
        <v>1</v>
      </c>
      <c r="E139" s="117">
        <f t="shared" si="32"/>
        <v>0</v>
      </c>
      <c r="F139" s="116" t="s">
        <v>10</v>
      </c>
      <c r="G139" s="116" t="s">
        <v>14</v>
      </c>
      <c r="H139" s="116" t="s">
        <v>2</v>
      </c>
      <c r="I139" s="117">
        <v>0</v>
      </c>
      <c r="J139" s="118">
        <v>1</v>
      </c>
      <c r="K139" s="124">
        <f t="shared" si="35"/>
        <v>0</v>
      </c>
      <c r="L139" s="125"/>
      <c r="M139" s="1"/>
      <c r="N139" s="110"/>
      <c r="O139" s="110">
        <f t="shared" si="34"/>
        <v>0</v>
      </c>
    </row>
    <row r="140" spans="1:17" x14ac:dyDescent="0.3">
      <c r="A140" s="116"/>
      <c r="B140" s="116"/>
      <c r="C140" s="117"/>
      <c r="D140" s="118"/>
      <c r="E140" s="117">
        <f t="shared" si="32"/>
        <v>0</v>
      </c>
      <c r="F140" s="116" t="s">
        <v>49</v>
      </c>
      <c r="G140" s="116" t="s">
        <v>14</v>
      </c>
      <c r="H140" s="116" t="s">
        <v>6</v>
      </c>
      <c r="I140" s="117">
        <v>75000</v>
      </c>
      <c r="J140" s="118">
        <v>4</v>
      </c>
      <c r="K140" s="124">
        <f t="shared" si="35"/>
        <v>300000</v>
      </c>
      <c r="L140" s="125"/>
      <c r="M140" s="1"/>
      <c r="N140" s="110">
        <v>150000</v>
      </c>
      <c r="O140" s="110">
        <f t="shared" si="34"/>
        <v>150000</v>
      </c>
    </row>
    <row r="141" spans="1:17" x14ac:dyDescent="0.3">
      <c r="A141" s="116"/>
      <c r="B141" s="116"/>
      <c r="C141" s="117"/>
      <c r="D141" s="118"/>
      <c r="E141" s="117">
        <f t="shared" si="32"/>
        <v>0</v>
      </c>
      <c r="F141" s="126" t="s">
        <v>15</v>
      </c>
      <c r="G141" s="126" t="s">
        <v>24</v>
      </c>
      <c r="H141" s="126" t="s">
        <v>2</v>
      </c>
      <c r="I141" s="123">
        <v>395000</v>
      </c>
      <c r="J141" s="127">
        <v>1</v>
      </c>
      <c r="K141" s="124">
        <f t="shared" si="35"/>
        <v>395000</v>
      </c>
      <c r="L141" s="125"/>
      <c r="M141" s="1"/>
      <c r="N141" s="110">
        <v>150000</v>
      </c>
      <c r="O141" s="110">
        <f t="shared" si="34"/>
        <v>245000</v>
      </c>
    </row>
    <row r="142" spans="1:17" x14ac:dyDescent="0.3">
      <c r="A142" s="116"/>
      <c r="B142" s="116"/>
      <c r="C142" s="117"/>
      <c r="D142" s="118"/>
      <c r="E142" s="117">
        <f t="shared" si="32"/>
        <v>0</v>
      </c>
      <c r="F142" s="152" t="s">
        <v>26</v>
      </c>
      <c r="G142" s="153"/>
      <c r="H142" s="153"/>
      <c r="I142" s="153"/>
      <c r="J142" s="154"/>
      <c r="K142" s="128">
        <f>SUM(K132:K141)</f>
        <v>4385000</v>
      </c>
      <c r="L142" s="120">
        <f>E150-K142</f>
        <v>9177000</v>
      </c>
      <c r="M142" s="1"/>
      <c r="N142" s="129">
        <f ca="1">SUM(N132:N141)</f>
        <v>2950000</v>
      </c>
      <c r="O142" s="129">
        <f ca="1">SUM(O132:O141)</f>
        <v>1435000</v>
      </c>
    </row>
    <row r="143" spans="1:17" x14ac:dyDescent="0.3">
      <c r="A143" s="116"/>
      <c r="B143" s="116"/>
      <c r="C143" s="117"/>
      <c r="D143" s="118"/>
      <c r="E143" s="117">
        <f t="shared" si="32"/>
        <v>0</v>
      </c>
      <c r="F143" s="25" t="s">
        <v>204</v>
      </c>
      <c r="G143" s="131"/>
      <c r="H143" s="131"/>
      <c r="I143" s="131"/>
      <c r="J143" s="132"/>
      <c r="K143" s="128">
        <v>1000000</v>
      </c>
      <c r="L143" s="120">
        <f>L142-K143</f>
        <v>8177000</v>
      </c>
      <c r="M143" s="1"/>
      <c r="N143" s="110">
        <v>1000000</v>
      </c>
      <c r="O143" s="110">
        <f t="shared" ref="O143:O149" si="36">K143-N143</f>
        <v>0</v>
      </c>
      <c r="P143" s="110"/>
    </row>
    <row r="144" spans="1:17" x14ac:dyDescent="0.3">
      <c r="A144" s="116"/>
      <c r="B144" s="116"/>
      <c r="C144" s="117"/>
      <c r="D144" s="118"/>
      <c r="E144" s="117">
        <f t="shared" si="32"/>
        <v>0</v>
      </c>
      <c r="F144" s="25" t="s">
        <v>205</v>
      </c>
      <c r="G144" s="131"/>
      <c r="H144" s="131"/>
      <c r="I144" s="131"/>
      <c r="J144" s="132"/>
      <c r="K144" s="128">
        <v>500000</v>
      </c>
      <c r="L144" s="120">
        <f t="shared" ref="L144:L149" si="37">L143-K144</f>
        <v>7677000</v>
      </c>
      <c r="M144" s="1"/>
      <c r="N144" s="110">
        <v>500000</v>
      </c>
      <c r="O144" s="110">
        <f t="shared" si="36"/>
        <v>0</v>
      </c>
      <c r="P144" s="110"/>
    </row>
    <row r="145" spans="1:17" x14ac:dyDescent="0.3">
      <c r="A145" s="116"/>
      <c r="B145" s="116"/>
      <c r="C145" s="117"/>
      <c r="D145" s="118"/>
      <c r="E145" s="117">
        <f t="shared" si="32"/>
        <v>0</v>
      </c>
      <c r="F145" s="25" t="s">
        <v>206</v>
      </c>
      <c r="G145" s="131"/>
      <c r="H145" s="131"/>
      <c r="I145" s="131"/>
      <c r="J145" s="132"/>
      <c r="K145" s="128">
        <v>750000</v>
      </c>
      <c r="L145" s="120">
        <f t="shared" si="37"/>
        <v>6927000</v>
      </c>
      <c r="M145" s="1"/>
      <c r="N145" s="110">
        <v>750000</v>
      </c>
      <c r="O145" s="110">
        <f t="shared" si="36"/>
        <v>0</v>
      </c>
      <c r="P145" s="110"/>
    </row>
    <row r="146" spans="1:17" x14ac:dyDescent="0.3">
      <c r="A146" s="116"/>
      <c r="B146" s="116"/>
      <c r="C146" s="117"/>
      <c r="D146" s="118"/>
      <c r="E146" s="117">
        <f t="shared" si="32"/>
        <v>0</v>
      </c>
      <c r="F146" s="25" t="s">
        <v>210</v>
      </c>
      <c r="G146" s="131"/>
      <c r="H146" s="131"/>
      <c r="I146" s="131"/>
      <c r="J146" s="132"/>
      <c r="K146" s="128">
        <v>150000</v>
      </c>
      <c r="L146" s="120">
        <f t="shared" si="37"/>
        <v>6777000</v>
      </c>
      <c r="M146" s="1"/>
      <c r="N146" s="110">
        <v>150000</v>
      </c>
      <c r="O146" s="110">
        <f t="shared" si="36"/>
        <v>0</v>
      </c>
      <c r="P146" s="110"/>
    </row>
    <row r="147" spans="1:17" x14ac:dyDescent="0.3">
      <c r="A147" s="116"/>
      <c r="B147" s="116"/>
      <c r="C147" s="117"/>
      <c r="D147" s="118"/>
      <c r="E147" s="117">
        <v>0</v>
      </c>
      <c r="F147" s="25" t="s">
        <v>172</v>
      </c>
      <c r="G147" s="131"/>
      <c r="H147" s="131"/>
      <c r="I147" s="131"/>
      <c r="J147" s="132"/>
      <c r="K147" s="128">
        <v>752000</v>
      </c>
      <c r="L147" s="120">
        <f t="shared" si="37"/>
        <v>6025000</v>
      </c>
      <c r="M147" s="1"/>
      <c r="N147" s="110">
        <f>K147</f>
        <v>752000</v>
      </c>
      <c r="O147" s="110">
        <f t="shared" si="36"/>
        <v>0</v>
      </c>
      <c r="P147" s="110"/>
      <c r="Q147" s="98"/>
    </row>
    <row r="148" spans="1:17" x14ac:dyDescent="0.3">
      <c r="A148" s="116"/>
      <c r="B148" s="116"/>
      <c r="C148" s="117"/>
      <c r="D148" s="118"/>
      <c r="E148" s="117">
        <v>0</v>
      </c>
      <c r="F148" s="25" t="s">
        <v>215</v>
      </c>
      <c r="G148" s="131"/>
      <c r="H148" s="131"/>
      <c r="I148" s="131"/>
      <c r="J148" s="132"/>
      <c r="K148" s="128">
        <v>250000</v>
      </c>
      <c r="L148" s="120">
        <f t="shared" si="37"/>
        <v>5775000</v>
      </c>
      <c r="M148" s="1"/>
      <c r="N148" s="110"/>
      <c r="O148" s="110">
        <f t="shared" si="36"/>
        <v>250000</v>
      </c>
      <c r="P148" s="110"/>
    </row>
    <row r="149" spans="1:17" x14ac:dyDescent="0.3">
      <c r="A149" s="116"/>
      <c r="B149" s="116"/>
      <c r="C149" s="117"/>
      <c r="D149" s="118"/>
      <c r="E149" s="117">
        <f>C149*D149</f>
        <v>0</v>
      </c>
      <c r="F149" s="130" t="s">
        <v>19</v>
      </c>
      <c r="G149" s="131"/>
      <c r="H149" s="131"/>
      <c r="I149" s="131"/>
      <c r="J149" s="144">
        <f>K149/K150</f>
        <v>0.42582215012535024</v>
      </c>
      <c r="K149" s="124">
        <v>5775000</v>
      </c>
      <c r="L149" s="120">
        <f t="shared" si="37"/>
        <v>0</v>
      </c>
      <c r="M149" s="1"/>
      <c r="N149" s="110">
        <f>K149</f>
        <v>5775000</v>
      </c>
      <c r="O149" s="110">
        <f t="shared" si="36"/>
        <v>0</v>
      </c>
      <c r="P149" s="110"/>
    </row>
    <row r="150" spans="1:17" x14ac:dyDescent="0.3">
      <c r="A150" s="133" t="s">
        <v>20</v>
      </c>
      <c r="B150" s="134"/>
      <c r="C150" s="134"/>
      <c r="D150" s="135"/>
      <c r="E150" s="136">
        <f>SUM(E132:E149)</f>
        <v>13562000</v>
      </c>
      <c r="F150" s="133" t="s">
        <v>20</v>
      </c>
      <c r="G150" s="134"/>
      <c r="H150" s="134"/>
      <c r="I150" s="134"/>
      <c r="J150" s="137"/>
      <c r="K150" s="138">
        <f>SUM(K142:K149)</f>
        <v>13562000</v>
      </c>
      <c r="L150" s="139" t="b">
        <f>K150=E150</f>
        <v>1</v>
      </c>
      <c r="M150" s="1"/>
      <c r="N150" s="140">
        <f ca="1">SUM(N142:N149)</f>
        <v>11877000</v>
      </c>
      <c r="O150" s="140">
        <f ca="1">SUM(O142:O149)</f>
        <v>1685000</v>
      </c>
      <c r="P150" s="110">
        <f>1753000+47000</f>
        <v>1800000</v>
      </c>
      <c r="Q150" s="79">
        <f ca="1">P150-O150+150000</f>
        <v>265000</v>
      </c>
    </row>
    <row r="151" spans="1:17" x14ac:dyDescent="0.3">
      <c r="O151" s="79"/>
      <c r="P151" s="79"/>
    </row>
  </sheetData>
  <mergeCells count="28">
    <mergeCell ref="A130:L130"/>
    <mergeCell ref="A131:E131"/>
    <mergeCell ref="F131:K131"/>
    <mergeCell ref="F142:J142"/>
    <mergeCell ref="A109:E109"/>
    <mergeCell ref="F109:K109"/>
    <mergeCell ref="F120:J120"/>
    <mergeCell ref="A86:L86"/>
    <mergeCell ref="A87:E87"/>
    <mergeCell ref="F87:K87"/>
    <mergeCell ref="F98:J98"/>
    <mergeCell ref="A108:L108"/>
    <mergeCell ref="F34:J34"/>
    <mergeCell ref="A23:E23"/>
    <mergeCell ref="F23:K23"/>
    <mergeCell ref="A1:L1"/>
    <mergeCell ref="A2:E2"/>
    <mergeCell ref="F2:K2"/>
    <mergeCell ref="F13:J13"/>
    <mergeCell ref="A22:L22"/>
    <mergeCell ref="A64:L64"/>
    <mergeCell ref="A65:E65"/>
    <mergeCell ref="F65:K65"/>
    <mergeCell ref="F76:J76"/>
    <mergeCell ref="A43:L43"/>
    <mergeCell ref="A44:E44"/>
    <mergeCell ref="F44:K44"/>
    <mergeCell ref="F55:J5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</vt:lpstr>
      <vt:lpstr>Process</vt:lpstr>
      <vt:lpstr>Progress</vt:lpstr>
      <vt:lpstr>Inc-Exp</vt:lpstr>
      <vt:lpstr>Wisuda</vt:lpstr>
      <vt:lpstr>Emergency February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achmad.zid2002</dc:creator>
  <cp:lastModifiedBy>Zidan Muzaki</cp:lastModifiedBy>
  <dcterms:created xsi:type="dcterms:W3CDTF">2024-10-03T16:01:30Z</dcterms:created>
  <dcterms:modified xsi:type="dcterms:W3CDTF">2026-08-15T10:13:12Z</dcterms:modified>
</cp:coreProperties>
</file>